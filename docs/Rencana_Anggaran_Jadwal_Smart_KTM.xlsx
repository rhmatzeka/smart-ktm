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cana Proyek" sheetId="1" state="visible" r:id="rId3"/>
    <sheet name="Anggaran" sheetId="2" state="visible" r:id="rId4"/>
    <sheet name="Jadw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<sst xmlns="http://schemas.openxmlformats.org/spreadsheetml/2006/main" count="350" uniqueCount="248">
  <si>
    <t xml:space="preserve">RENCANA PROYEK SMART KTM</t>
  </si>
  <si>
    <t xml:space="preserve">Teks biru = isian, teks hijau = diambil otomatis dari sheet lain, sel kuning = asumsi yang perlu dicek.</t>
  </si>
  <si>
    <t xml:space="preserve">1. Ringkasan Proyek</t>
  </si>
  <si>
    <t xml:space="preserve">Nama Proyek</t>
  </si>
  <si>
    <t xml:space="preserve">Smart KTM - AI Agent dan Blockchain pada KTM</t>
  </si>
  <si>
    <t xml:space="preserve">Kampus / Kelas</t>
  </si>
  <si>
    <t xml:space="preserve">Universitas Pamulang - Kelas 07TPLP003 - Kelompok 11</t>
  </si>
  <si>
    <t xml:space="preserve">Project Manager</t>
  </si>
  <si>
    <t xml:space="preserve">Rahmat Eka Satria</t>
  </si>
  <si>
    <t xml:space="preserve">Tanggal Mulai</t>
  </si>
  <si>
    <t xml:space="preserve">Target Selesai</t>
  </si>
  <si>
    <t xml:space="preserve">Lama Proyek (hari)</t>
  </si>
  <si>
    <t xml:space="preserve">Total Anggaran (Rp)</t>
  </si>
  <si>
    <t xml:space="preserve">Progres Proyek</t>
  </si>
  <si>
    <t xml:space="preserve">Kondisi Saat Ini</t>
  </si>
  <si>
    <t xml:space="preserve">Jumlah Pekerjaan</t>
  </si>
  <si>
    <t xml:space="preserve">Pekerjaan Selesai</t>
  </si>
  <si>
    <t xml:space="preserve">Pekerjaan Terlambat</t>
  </si>
  <si>
    <t xml:space="preserve">Tautan</t>
  </si>
  <si>
    <t xml:space="preserve">https://ktm.rahmateka.my.id · github.com/rhmatzeka/smart-ktm · github.com/users/rhmatzeka/projects/3</t>
  </si>
  <si>
    <t xml:space="preserve">2. Sasaran</t>
  </si>
  <si>
    <t xml:space="preserve">Menjadikan KTM fisik (MIFARE Classic, kartu parkir yang sama) kunci masuk aplikasi akademik lewat NFC, tanpa menulis apa pun ke kartu.</t>
  </si>
  <si>
    <t xml:space="preserve">Mencatat presensi kelas anti titip absen (tap KTM + foto mahasiswa di HP dosen) dengan bukti hash di blockchain Ethereum Sepolia yang bisa diverifikasi publik.</t>
  </si>
  <si>
    <t xml:space="preserve">Menyediakan AI agent akademik yang menjawab dan bertindak (catat tugas, pengingat) dari data jadwal &amp; presensi MyUnpam milik mahasiswa sendiri.</t>
  </si>
  <si>
    <t xml:space="preserve">Menerbitkan sertifikat acara on-chain lewat tap KTM dan melindungi KTM hilang (blokir kartu, pesan untuk penemu).</t>
  </si>
  <si>
    <t xml:space="preserve">3. Lingkup Pekerjaan &amp; Hasil</t>
  </si>
  <si>
    <t xml:space="preserve">No</t>
  </si>
  <si>
    <t xml:space="preserve">Hasil</t>
  </si>
  <si>
    <t xml:space="preserve">Isi</t>
  </si>
  <si>
    <t xml:space="preserve">Dianggap Berhasil Bila</t>
  </si>
  <si>
    <t xml:space="preserve">Prioritas</t>
  </si>
  <si>
    <t xml:space="preserve">Penanggung Jawab</t>
  </si>
  <si>
    <t xml:space="preserve">Tap KTM &amp; akun</t>
  </si>
  <si>
    <t xml:space="preserve">Masuk dengan tap KTM (Web NFC &amp; NFC native), daftar KTM, HP tepercaya, ganti PIN</t>
  </si>
  <si>
    <t xml:space="preserve">UID terbaca; tap KTM masuk &lt;= 3 detik di HP tepercaya; tanpa jalur tulis ke kartu</t>
  </si>
  <si>
    <t xml:space="preserve">Tinggi</t>
  </si>
  <si>
    <t xml:space="preserve">Backend &amp; Blockchain</t>
  </si>
  <si>
    <t xml:space="preserve">Beranda &amp; jadwal (MyUnpam)</t>
  </si>
  <si>
    <t xml:space="preserve">Sinkron jadwal, presensi per pertemuan &amp; foto lewat bookmark; beranda sesuai waktu; jadwal seminggu</t>
  </si>
  <si>
    <t xml:space="preserve">Data sama dengan MyUnpam; pertemuan terlewat tampil</t>
  </si>
  <si>
    <t xml:space="preserve">Frontend &amp; Mobile</t>
  </si>
  <si>
    <t xml:space="preserve">Presensi on-chain</t>
  </si>
  <si>
    <t xml:space="preserve">Mesin absen di HP dosen, foto mahasiswa, hash ke kontrak PresensiKTM, halaman cek bukti</t>
  </si>
  <si>
    <t xml:space="preserve">Tercatat di Sepolia &amp; bisa dibuka di Etherscan; tap ganda ditolak</t>
  </si>
  <si>
    <t xml:space="preserve">AI Agent (Asisten KTM)</t>
  </si>
  <si>
    <t xml:space="preserve">Tanya jawab dari data sendiri, catat tugas, pengingat, ringkasan beranda</t>
  </si>
  <si>
    <t xml:space="preserve">Jawaban sesuai data; aksi benar-benar tersimpan; mode offline bila AI mati</t>
  </si>
  <si>
    <t xml:space="preserve">AI Engineer</t>
  </si>
  <si>
    <t xml:space="preserve">Sertifikat, KTM hilang &amp; kartu nama</t>
  </si>
  <si>
    <t xml:space="preserve">Sertifikat acara on-chain, blokir KTM hilang, kartu nama digital</t>
  </si>
  <si>
    <t xml:space="preserve">Sertifikat terverifikasi di Etherscan; KTM hilang ditolak di semua jalur</t>
  </si>
  <si>
    <t xml:space="preserve">Sedang</t>
  </si>
  <si>
    <t xml:space="preserve">Aplikasi Android</t>
  </si>
  <si>
    <t xml:space="preserve">Capacitor + plugin NFC native: tempel KTM membuka aplikasi; APK dari GitHub Actions</t>
  </si>
  <si>
    <t xml:space="preserve">APK terpasang; aplikasi terbuka saat KTM ditempel</t>
  </si>
  <si>
    <t xml:space="preserve">Tidak termasuk tugas ini (rencana pengembangan): menulis data ke MyUnpam/SIAKAD, notifikasi WhatsApp, sinkron tugas Mentari, rilis Play Store, aplikasi iOS native, kartu DESFire.</t>
  </si>
  <si>
    <t xml:space="preserve">4. Titik Capaian</t>
  </si>
  <si>
    <t xml:space="preserve">Titik Capaian</t>
  </si>
  <si>
    <t xml:space="preserve">Bukti Tercapai</t>
  </si>
  <si>
    <t xml:space="preserve">Target</t>
  </si>
  <si>
    <t xml:space="preserve">Status</t>
  </si>
  <si>
    <t xml:space="preserve">Kickoff &amp; uji kelayakan NFC</t>
  </si>
  <si>
    <t xml:space="preserve">UID KTM terbaca, judul disetujui</t>
  </si>
  <si>
    <t xml:space="preserve">Backend, kontrak &amp; AI selesai</t>
  </si>
  <si>
    <t xml:space="preserve">API, PresensiKTM, AI agent berfungsi</t>
  </si>
  <si>
    <t xml:space="preserve">Frontend &amp; aplikasi Android selesai</t>
  </si>
  <si>
    <t xml:space="preserve">Web + APK berjalan dengan data MyUnpam</t>
  </si>
  <si>
    <t xml:space="preserve">Presentasi &amp; demo</t>
  </si>
  <si>
    <t xml:space="preserve">Demo tap KTM, presensi on-chain, AI</t>
  </si>
  <si>
    <t xml:space="preserve">UAT selesai</t>
  </si>
  <si>
    <t xml:space="preserve">Berita acara UAT bersama dosen</t>
  </si>
  <si>
    <t xml:space="preserve">Go-live &amp; serah terima</t>
  </si>
  <si>
    <t xml:space="preserve">APK final, laporan, repo publik</t>
  </si>
  <si>
    <t xml:space="preserve">5. Tim Kelompok 11</t>
  </si>
  <si>
    <t xml:space="preserve">Peran</t>
  </si>
  <si>
    <t xml:space="preserve">Nama</t>
  </si>
  <si>
    <t xml:space="preserve">Tugas Utama</t>
  </si>
  <si>
    <t xml:space="preserve">Porsi Waktu</t>
  </si>
  <si>
    <t xml:space="preserve">PM</t>
  </si>
  <si>
    <t xml:space="preserve">Koordinasi, ruang lingkup, demo, UAT, laporan</t>
  </si>
  <si>
    <t xml:space="preserve">API Rust, database, sinkron MyUnpam, kontrak Solidity</t>
  </si>
  <si>
    <t xml:space="preserve">Andika Agung Triadha</t>
  </si>
  <si>
    <t xml:space="preserve">Web Astro, desain UI, aplikasi Android</t>
  </si>
  <si>
    <t xml:space="preserve">AI agent, prompt, alat (function calling)</t>
  </si>
  <si>
    <t xml:space="preserve">QA</t>
  </si>
  <si>
    <t xml:space="preserve">Unit test, uji integrasi, uji pengguna, UAT</t>
  </si>
  <si>
    <t xml:space="preserve">Anggota: Rahmat Eka Satria (231011402890) dan Andika Agung Triadha. Kolom Penanggung Jawab di sheet Jadwal memakai nama Peran di atas. Porsi waktu = bagian waktu per minggu.</t>
  </si>
  <si>
    <t xml:space="preserve">6. Risiko &amp; Cara Mengatasi</t>
  </si>
  <si>
    <t xml:space="preserve">Risiko</t>
  </si>
  <si>
    <t xml:space="preserve">Cara Mengatasi</t>
  </si>
  <si>
    <t xml:space="preserve">Kemungkinan</t>
  </si>
  <si>
    <t xml:space="preserve">Dampak</t>
  </si>
  <si>
    <t xml:space="preserve">UID MIFARE Classic bisa dibaca &amp; disalin (titip absen dengan kartu salinan)</t>
  </si>
  <si>
    <t xml:space="preserve">Foto mahasiswa muncul di setiap tap; HP tepercaya + PIN; rekomendasi kartu DESFire ke kampus</t>
  </si>
  <si>
    <t xml:space="preserve">API internal MyUnpam berubah sehingga sinkron gagal</t>
  </si>
  <si>
    <t xml:space="preserve">Bookmark terpisah dari server; data terakhir tetap tersimpan; pesan galat jelas</t>
  </si>
  <si>
    <t xml:space="preserve">Kuota AI (Groq) habis atau layanan tidak tersedia</t>
  </si>
  <si>
    <t xml:space="preserve">Cadangan Gemini dan mode offline berbasis kata kunci; batas chat per pengguna</t>
  </si>
  <si>
    <t xml:space="preserve">iPhone &amp; Brave tidak bisa membaca KTM lewat NFC</t>
  </si>
  <si>
    <t xml:space="preserve">Masuk pakai NIM + PIN; tombol Buka di Chrome; aplikasi Android dengan NFC native</t>
  </si>
  <si>
    <t xml:space="preserve">Rendah</t>
  </si>
  <si>
    <t xml:space="preserve">Server tunggal (VPS aktif s.d. 28 Des 2026) mati</t>
  </si>
  <si>
    <t xml:space="preserve">Skrip deploy ulang otomatis (deploy-vps.sh); perpanjang atau pindah server sebelum masa aktif habis</t>
  </si>
  <si>
    <t xml:space="preserve">Jadwal mundur karena ketergantungan antar modul</t>
  </si>
  <si>
    <t xml:space="preserve">Review Gantt mingguan, tugas paralel bila memungkinkan, buffer kontingensi</t>
  </si>
  <si>
    <t xml:space="preserve">ANGGARAN BIAYA PROYEK (RAB)</t>
  </si>
  <si>
    <t xml:space="preserve">Mata uang: Rupiah (Rp). Harga satuan adalah ASUMSI - sesuaikan dengan penawaran/standar biaya institusi. Kolom Keterangan menyebut biaya yang sebenarnya dipakai di prototipe.</t>
  </si>
  <si>
    <t xml:space="preserve">Komponen Biaya</t>
  </si>
  <si>
    <t xml:space="preserve">Satuan</t>
  </si>
  <si>
    <t xml:space="preserve">Jumlah Unit</t>
  </si>
  <si>
    <t xml:space="preserve">Harga per Unit (Rp)</t>
  </si>
  <si>
    <t xml:space="preserve">Total (Rp)</t>
  </si>
  <si>
    <t xml:space="preserve">Catatan</t>
  </si>
  <si>
    <t xml:space="preserve">A</t>
  </si>
  <si>
    <t xml:space="preserve">Tenaga Kerja</t>
  </si>
  <si>
    <t xml:space="preserve">bulan</t>
  </si>
  <si>
    <t xml:space="preserve">Koordinasi, demo, UAT, laporan</t>
  </si>
  <si>
    <t xml:space="preserve">Backend &amp; Blockchain Developer (Rust, Solidity)</t>
  </si>
  <si>
    <t xml:space="preserve">Frontend &amp; Mobile Developer (Astro, Android)</t>
  </si>
  <si>
    <t xml:space="preserve">Asisten KTM (function calling)</t>
  </si>
  <si>
    <t xml:space="preserve">QA / Tester</t>
  </si>
  <si>
    <t xml:space="preserve">Subtotal A</t>
  </si>
  <si>
    <t xml:space="preserve">B</t>
  </si>
  <si>
    <t xml:space="preserve">Perangkat Keras</t>
  </si>
  <si>
    <t xml:space="preserve">HP Android ber-NFC untuk mesin absen dosen</t>
  </si>
  <si>
    <t xml:space="preserve">unit</t>
  </si>
  <si>
    <t xml:space="preserve">Prototipe memakai HP anggota</t>
  </si>
  <si>
    <t xml:space="preserve">Kartu NFC cadangan untuk uji (NTAG/MIFARE)</t>
  </si>
  <si>
    <t xml:space="preserve">pcs</t>
  </si>
  <si>
    <t xml:space="preserve">KTM asli tidak pernah ditulis</t>
  </si>
  <si>
    <t xml:space="preserve">Reader NFC USB (opsional, mesin absen di laptop)</t>
  </si>
  <si>
    <t xml:space="preserve">Subtotal B</t>
  </si>
  <si>
    <t xml:space="preserve">C</t>
  </si>
  <si>
    <t xml:space="preserve">Layanan Online &amp; Lisensi</t>
  </si>
  <si>
    <t xml:space="preserve">VPS / hosting</t>
  </si>
  <si>
    <t xml:space="preserve">Prototipe: VPS milik anggota</t>
  </si>
  <si>
    <t xml:space="preserve">Domain (.my.id)</t>
  </si>
  <si>
    <t xml:space="preserve">tahun</t>
  </si>
  <si>
    <t xml:space="preserve">rahmateka.my.id sudah ada</t>
  </si>
  <si>
    <t xml:space="preserve">API AI (Groq / Gemini)</t>
  </si>
  <si>
    <t xml:space="preserve">Tier gratis; siapkan anggaran bila kuota habis</t>
  </si>
  <si>
    <t xml:space="preserve">Gas blockchain (Ethereum Sepolia testnet)</t>
  </si>
  <si>
    <t xml:space="preserve">ls</t>
  </si>
  <si>
    <t xml:space="preserve">Testnet: SepoliaETH dari faucet</t>
  </si>
  <si>
    <t xml:space="preserve">Akun Google Play Developer</t>
  </si>
  <si>
    <t xml:space="preserve">kali</t>
  </si>
  <si>
    <t xml:space="preserve">Biaya sekali, setara USD 25</t>
  </si>
  <si>
    <t xml:space="preserve">Cloudflare Tunnel &amp; GitHub Actions</t>
  </si>
  <si>
    <t xml:space="preserve">Paket gratis</t>
  </si>
  <si>
    <t xml:space="preserve">Subtotal C</t>
  </si>
  <si>
    <t xml:space="preserve">D</t>
  </si>
  <si>
    <t xml:space="preserve">Uji Coba &amp; Demo</t>
  </si>
  <si>
    <t xml:space="preserve">Konsumsi sesi UAT &amp; demo</t>
  </si>
  <si>
    <t xml:space="preserve">sesi</t>
  </si>
  <si>
    <t xml:space="preserve">Insentif mahasiswa responden uji</t>
  </si>
  <si>
    <t xml:space="preserve">orang</t>
  </si>
  <si>
    <t xml:space="preserve">Subtotal D</t>
  </si>
  <si>
    <t xml:space="preserve">E</t>
  </si>
  <si>
    <t xml:space="preserve">Operasional</t>
  </si>
  <si>
    <t xml:space="preserve">Internet / kuota</t>
  </si>
  <si>
    <t xml:space="preserve">ATK &amp; cetak laporan</t>
  </si>
  <si>
    <t xml:space="preserve">Lump sum</t>
  </si>
  <si>
    <t xml:space="preserve">Transportasi &amp; rapat koordinasi</t>
  </si>
  <si>
    <t xml:space="preserve">Subtotal E</t>
  </si>
  <si>
    <t xml:space="preserve">Jumlah biaya langsung</t>
  </si>
  <si>
    <t xml:space="preserve">Dana cadangan (%)</t>
  </si>
  <si>
    <t xml:space="preserve">Asumsi: 10% untuk biaya tak terduga</t>
  </si>
  <si>
    <t xml:space="preserve">PPN (%)</t>
  </si>
  <si>
    <t xml:space="preserve">Asumsi tarif 11%; isi 0% bila tidak dikenai PPN</t>
  </si>
  <si>
    <t xml:space="preserve">TOTAL ANGGARAN</t>
  </si>
  <si>
    <t xml:space="preserve">Batas anggaran (Rp)</t>
  </si>
  <si>
    <t xml:space="preserve">Asumsi contoh - ganti dengan pagu sebenarnya</t>
  </si>
  <si>
    <t xml:space="preserve">Sisa / (kekurangan) anggaran (Rp)</t>
  </si>
  <si>
    <t xml:space="preserve">Ringkasan per Kategori</t>
  </si>
  <si>
    <t xml:space="preserve">Kode</t>
  </si>
  <si>
    <t xml:space="preserve">Kategori</t>
  </si>
  <si>
    <t xml:space="preserve">Porsi</t>
  </si>
  <si>
    <t xml:space="preserve">JADWAL PELAKSANAAN (GANTT)</t>
  </si>
  <si>
    <t xml:space="preserve">Warna:</t>
  </si>
  <si>
    <t xml:space="preserve">Fase</t>
  </si>
  <si>
    <t xml:space="preserve">Tugas</t>
  </si>
  <si>
    <t xml:space="preserve">Selesai</t>
  </si>
  <si>
    <t xml:space="preserve">Minggu ini</t>
  </si>
  <si>
    <t xml:space="preserve">Setelah Tugas = kode pekerjaan yang harus selesai dulu sebelum pekerjaan ini dimulai. Kosong = mulai sejak hari pertama proyek. Teks biru = bisa diubah.</t>
  </si>
  <si>
    <t xml:space="preserve">Mg 1</t>
  </si>
  <si>
    <t xml:space="preserve">Mg 2</t>
  </si>
  <si>
    <t xml:space="preserve">Mg 3</t>
  </si>
  <si>
    <t xml:space="preserve">Mg 4</t>
  </si>
  <si>
    <t xml:space="preserve">Mg 5</t>
  </si>
  <si>
    <t xml:space="preserve">Mg 6</t>
  </si>
  <si>
    <t xml:space="preserve">Mg 7</t>
  </si>
  <si>
    <t xml:space="preserve">Mg 8</t>
  </si>
  <si>
    <t xml:space="preserve">Pekerjaan</t>
  </si>
  <si>
    <t xml:space="preserve">Setelah Tugas</t>
  </si>
  <si>
    <t xml:space="preserve">Mulai</t>
  </si>
  <si>
    <t xml:space="preserve">Lama (hari)</t>
  </si>
  <si>
    <t xml:space="preserve">Progres</t>
  </si>
  <si>
    <t xml:space="preserve">F1</t>
  </si>
  <si>
    <t xml:space="preserve">Fase 1 · Inisiasi &amp; Perancangan</t>
  </si>
  <si>
    <t xml:space="preserve">T1.1</t>
  </si>
  <si>
    <t xml:space="preserve">Kickoff, ide &amp; ruang lingkup</t>
  </si>
  <si>
    <t xml:space="preserve">T1.2</t>
  </si>
  <si>
    <t xml:space="preserve">Uji kelayakan NFC pada KTM (MIFARE Classic 1K)</t>
  </si>
  <si>
    <t xml:space="preserve">T1.3</t>
  </si>
  <si>
    <t xml:space="preserve">Riset integrasi MyUnpam &amp; Mentari, penetapan judul</t>
  </si>
  <si>
    <t xml:space="preserve">T1.4</t>
  </si>
  <si>
    <t xml:space="preserve">Mockup &amp; perancangan UI/UX</t>
  </si>
  <si>
    <t xml:space="preserve">F2</t>
  </si>
  <si>
    <t xml:space="preserve">Fase 2 · Backend &amp; Blockchain</t>
  </si>
  <si>
    <t xml:space="preserve">T2.1</t>
  </si>
  <si>
    <t xml:space="preserve">API Rust (axum + SQLite): akun, KTM, jadwal, presensi</t>
  </si>
  <si>
    <t xml:space="preserve">T2.2</t>
  </si>
  <si>
    <t xml:space="preserve">Smart contract PresensiKTM &amp; SertifikatKTM (Sepolia)</t>
  </si>
  <si>
    <t xml:space="preserve">T2.3</t>
  </si>
  <si>
    <t xml:space="preserve">AI agent (Groq, function calling)</t>
  </si>
  <si>
    <t xml:space="preserve">T2.4</t>
  </si>
  <si>
    <t xml:space="preserve">Sinkron MyUnpam: jadwal, presensi per pertemuan, foto</t>
  </si>
  <si>
    <t xml:space="preserve">T2.5</t>
  </si>
  <si>
    <t xml:space="preserve">Mode KTM hilang &amp; pengamanan akun</t>
  </si>
  <si>
    <t xml:space="preserve">F3</t>
  </si>
  <si>
    <t xml:space="preserve">Fase 3 · Frontend &amp; Aplikasi Mobile</t>
  </si>
  <si>
    <t xml:space="preserve">T3.1</t>
  </si>
  <si>
    <t xml:space="preserve">Web Astro + Web NFC: masuk, beranda, mesin absen</t>
  </si>
  <si>
    <t xml:space="preserve">T3.2</t>
  </si>
  <si>
    <t xml:space="preserve">Desain final (pita KTM) &amp; halaman jadwal</t>
  </si>
  <si>
    <t xml:space="preserve">T3.3</t>
  </si>
  <si>
    <t xml:space="preserve">Aplikasi Android (Capacitor + NFC native)</t>
  </si>
  <si>
    <t xml:space="preserve">F4</t>
  </si>
  <si>
    <t xml:space="preserve">Fase 4 · Pengujian &amp; Demo</t>
  </si>
  <si>
    <t xml:space="preserve">T4.1</t>
  </si>
  <si>
    <t xml:space="preserve">Pengujian integrasi &amp; unit test (Rust, Foundry)</t>
  </si>
  <si>
    <t xml:space="preserve">T4.2</t>
  </si>
  <si>
    <t xml:space="preserve">Presentasi &amp; demo ke dosen</t>
  </si>
  <si>
    <t xml:space="preserve">T4.3</t>
  </si>
  <si>
    <t xml:space="preserve">Uji pengguna dengan teman sekelas</t>
  </si>
  <si>
    <t xml:space="preserve">T4.4</t>
  </si>
  <si>
    <t xml:space="preserve">UAT bersama dosen</t>
  </si>
  <si>
    <t xml:space="preserve">F5</t>
  </si>
  <si>
    <t xml:space="preserve">Fase 5 · Rilis &amp; Serah Terima</t>
  </si>
  <si>
    <t xml:space="preserve">T5.1</t>
  </si>
  <si>
    <t xml:space="preserve">Deploy VPS, Cloudflare Tunnel &amp; kontrak Sepolia</t>
  </si>
  <si>
    <t xml:space="preserve">T5.2</t>
  </si>
  <si>
    <t xml:space="preserve">Perbaikan bug hasil pengujian</t>
  </si>
  <si>
    <t xml:space="preserve">T5.3</t>
  </si>
  <si>
    <t xml:space="preserve">Laporan MPI, dokumentasi &amp; panduan pengguna</t>
  </si>
  <si>
    <t xml:space="preserve">T5.4</t>
  </si>
  <si>
    <t xml:space="preserve">Go-live &amp; serah terima (APK final, repo publik)</t>
  </si>
  <si>
    <t xml:space="preserve">Teks biru = bisa diubah. Mulai &amp; Selesai dihitung otomatis dari hari pertama proyek (sheet Rencana Proyek, sel C8), pekerjaan sebelumnya, dan lama pengerjaan. Pekerjaan 100% memakai tanggal pengerjaan sebenarnya; sisanya rencana.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</si>
</sst>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0"/>
    <numFmt numFmtId="167" formatCode="#,##0;\(#,##0\);\-"/>
    <numFmt numFmtId="168" formatCode="0%"/>
    <numFmt numFmtId="169" formatCode="#,##0.##"/>
    <numFmt numFmtId="170" formatCode="0.0%"/>
    <numFmt numFmtId="171" formatCode="dd/mm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2A6E"/>
      <name val="Arial"/>
      <family val="0"/>
      <charset val="1"/>
    </font>
    <font>
      <i val="true"/>
      <sz val="9"/>
      <color rgb="FF5B6475"/>
      <name val="Arial"/>
      <family val="0"/>
      <charset val="1"/>
    </font>
    <font>
      <b val="true"/>
      <sz val="11"/>
      <color rgb="FF0E2A6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E2A6E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E2A6E"/>
        <bgColor rgb="FF333399"/>
      </patternFill>
    </fill>
    <fill>
      <patternFill patternType="solid">
        <fgColor rgb="FFDCE6FA"/>
        <bgColor rgb="FFC9D3E6"/>
      </patternFill>
    </fill>
    <fill>
      <patternFill patternType="solid">
        <fgColor rgb="FFFFFF00"/>
        <bgColor rgb="FFFFFF00"/>
      </patternFill>
    </fill>
    <fill>
      <patternFill patternType="solid">
        <fgColor rgb="FF7FA6F5"/>
        <bgColor rgb="FF99CCFF"/>
      </patternFill>
    </fill>
    <fill>
      <patternFill patternType="solid">
        <fgColor rgb="FF16A34A"/>
        <bgColor rgb="FF008080"/>
      </patternFill>
    </fill>
    <fill>
      <patternFill patternType="solid">
        <fgColor rgb="FFFDE68A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6"/>
      </left>
      <right style="thin">
        <color rgb="FFC9D3E6"/>
      </right>
      <top style="thin">
        <color rgb="FFC9D3E6"/>
      </top>
      <bottom style="thin">
        <color rgb="FFC9D3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0E2A6E"/>
        </patternFill>
      </fill>
    </dxf>
    <dxf>
      <fill>
        <patternFill>
          <bgColor rgb="FF16A34A"/>
        </patternFill>
      </fill>
    </dxf>
    <dxf>
      <fill>
        <patternFill>
          <bgColor rgb="FF7FA6F5"/>
        </patternFill>
      </fill>
    </dxf>
    <dxf>
      <fill>
        <patternFill>
          <bgColor rgb="FFFDE6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FA6F5"/>
      <rgbColor rgb="FF993366"/>
      <rgbColor rgb="FFFFFFCC"/>
      <rgbColor rgb="FFDCE6FA"/>
      <rgbColor rgb="FF660066"/>
      <rgbColor rgb="FFFF8080"/>
      <rgbColor rgb="FF0066CC"/>
      <rgbColor rgb="FFC9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5"/>
      <rgbColor rgb="FF969696"/>
      <rgbColor rgb="FF0E2A6E"/>
      <rgbColor rgb="FF16A3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6" t="n">
        <v>46321</v>
      </c>
    </row>
    <row r="9" customFormat="false" ht="15" hidden="false" customHeight="false" outlineLevel="0" collapsed="false">
      <c r="B9" s="4" t="s">
        <v>10</v>
      </c>
      <c r="C9" s="7" t="n">
        <f aca="false">MAX(Jadwal!G7:G31)</f>
        <v>46342</v>
      </c>
    </row>
    <row r="10" customFormat="false" ht="15" hidden="false" customHeight="false" outlineLevel="0" collapsed="false">
      <c r="B10" s="4" t="s">
        <v>11</v>
      </c>
      <c r="C10" s="8" t="n">
        <f aca="false">C9-C8+1</f>
        <v>22</v>
      </c>
    </row>
    <row r="11" customFormat="false" ht="15" hidden="false" customHeight="false" outlineLevel="0" collapsed="false">
      <c r="B11" s="4" t="s">
        <v>12</v>
      </c>
      <c r="C11" s="9" t="n">
        <f aca="false">Anggaran!F39</f>
        <v>38553075</v>
      </c>
    </row>
    <row r="12" customFormat="false" ht="15" hidden="false" customHeight="false" outlineLevel="0" collapsed="false">
      <c r="B12" s="4" t="s">
        <v>13</v>
      </c>
      <c r="C12" s="10" t="n">
        <f aca="false">IFERROR((Jadwal!F7*Jadwal!H7+Jadwal!F12*Jadwal!H12+Jadwal!F18*Jadwal!H18+Jadwal!F22*Jadwal!H22+Jadwal!F27*Jadwal!H27)/(Jadwal!F7+Jadwal!F12+Jadwal!F18+Jadwal!F22+Jadwal!F27),0)</f>
        <v>0.242857142857143</v>
      </c>
    </row>
    <row r="13" customFormat="false" ht="15" hidden="false" customHeight="false" outlineLevel="0" collapsed="false">
      <c r="B13" s="4" t="s">
        <v>14</v>
      </c>
      <c r="C13" s="11" t="str">
        <f aca="false">IF(C12&gt;=1,"Selesai",IF(COUNTIF(Jadwal!I7:I31,"Terlambat")&gt;0,"Ada Keterlambatan",IF(C12&gt;0,"Berjalan","Belum Mulai")))</f>
        <v>Berjalan</v>
      </c>
    </row>
    <row r="14" customFormat="false" ht="15" hidden="false" customHeight="false" outlineLevel="0" collapsed="false">
      <c r="B14" s="4" t="s">
        <v>15</v>
      </c>
      <c r="C14" s="8" t="n">
        <f aca="false">COUNTIF(Jadwal!A7:A31,"T*")</f>
        <v>20</v>
      </c>
    </row>
    <row r="15" customFormat="false" ht="15" hidden="false" customHeight="false" outlineLevel="0" collapsed="false">
      <c r="B15" s="4" t="s">
        <v>16</v>
      </c>
      <c r="C15" s="8" t="n">
        <f aca="false">COUNTIFS(Jadwal!A7:A31,"T*",Jadwal!I7:I31,"Selesai")</f>
        <v>14</v>
      </c>
    </row>
    <row r="16" customFormat="false" ht="15" hidden="false" customHeight="false" outlineLevel="0" collapsed="false">
      <c r="B16" s="4" t="s">
        <v>17</v>
      </c>
      <c r="C16" s="8" t="n">
        <f aca="false">COUNTIFS(Jadwal!A7:A31,"T*",Jadwal!I7:I31,"Terlambat")</f>
        <v>0</v>
      </c>
    </row>
    <row r="17" customFormat="false" ht="23.85" hidden="false" customHeight="false" outlineLevel="0" collapsed="false">
      <c r="B17" s="4" t="s">
        <v>18</v>
      </c>
      <c r="C17" s="5" t="s">
        <v>19</v>
      </c>
    </row>
    <row r="19" customFormat="false" ht="15" hidden="false" customHeight="false" outlineLevel="0" collapsed="false">
      <c r="A19" s="3" t="s">
        <v>20</v>
      </c>
    </row>
    <row r="20" customFormat="false" ht="15" hidden="false" customHeight="true" outlineLevel="0" collapsed="false">
      <c r="A20" s="11" t="n">
        <v>1</v>
      </c>
      <c r="B20" s="11" t="s">
        <v>21</v>
      </c>
      <c r="C20" s="11"/>
      <c r="D20" s="11"/>
      <c r="E20" s="11"/>
      <c r="F20" s="11"/>
    </row>
    <row r="21" customFormat="false" ht="15" hidden="false" customHeight="true" outlineLevel="0" collapsed="false">
      <c r="A21" s="11" t="n">
        <v>2</v>
      </c>
      <c r="B21" s="11" t="s">
        <v>22</v>
      </c>
      <c r="C21" s="11"/>
      <c r="D21" s="11"/>
      <c r="E21" s="11"/>
      <c r="F21" s="11"/>
    </row>
    <row r="22" customFormat="false" ht="15" hidden="false" customHeight="true" outlineLevel="0" collapsed="false">
      <c r="A22" s="11" t="n">
        <v>3</v>
      </c>
      <c r="B22" s="11" t="s">
        <v>23</v>
      </c>
      <c r="C22" s="11"/>
      <c r="D22" s="11"/>
      <c r="E22" s="11"/>
      <c r="F22" s="11"/>
    </row>
    <row r="23" customFormat="false" ht="15" hidden="false" customHeight="true" outlineLevel="0" collapsed="false">
      <c r="A23" s="11" t="n">
        <v>4</v>
      </c>
      <c r="B23" s="11" t="s">
        <v>24</v>
      </c>
      <c r="C23" s="11"/>
      <c r="D23" s="11"/>
      <c r="E23" s="11"/>
      <c r="F23" s="11"/>
    </row>
    <row r="25" customFormat="false" ht="15" hidden="false" customHeight="false" outlineLevel="0" collapsed="false">
      <c r="A25" s="3" t="s">
        <v>25</v>
      </c>
    </row>
    <row r="26" customFormat="false" ht="15" hidden="false" customHeight="false" outlineLevel="0" collapsed="false">
      <c r="A26" s="12" t="s">
        <v>26</v>
      </c>
      <c r="B26" s="12" t="s">
        <v>27</v>
      </c>
      <c r="C26" s="12" t="s">
        <v>28</v>
      </c>
      <c r="D26" s="12" t="s">
        <v>29</v>
      </c>
      <c r="E26" s="12" t="s">
        <v>30</v>
      </c>
      <c r="F26" s="12" t="s">
        <v>31</v>
      </c>
    </row>
    <row r="27" customFormat="false" ht="23.85" hidden="false" customHeight="false" outlineLevel="0" collapsed="false">
      <c r="A27" s="11" t="n">
        <v>1</v>
      </c>
      <c r="B27" s="11" t="s">
        <v>32</v>
      </c>
      <c r="C27" s="11" t="s">
        <v>33</v>
      </c>
      <c r="D27" s="11" t="s">
        <v>34</v>
      </c>
      <c r="E27" s="11" t="s">
        <v>35</v>
      </c>
      <c r="F27" s="11" t="s">
        <v>36</v>
      </c>
    </row>
    <row r="28" customFormat="false" ht="23.85" hidden="false" customHeight="false" outlineLevel="0" collapsed="false">
      <c r="A28" s="11" t="n">
        <v>2</v>
      </c>
      <c r="B28" s="11" t="s">
        <v>37</v>
      </c>
      <c r="C28" s="11" t="s">
        <v>38</v>
      </c>
      <c r="D28" s="11" t="s">
        <v>39</v>
      </c>
      <c r="E28" s="11" t="s">
        <v>35</v>
      </c>
      <c r="F28" s="11" t="s">
        <v>40</v>
      </c>
    </row>
    <row r="29" customFormat="false" ht="23.85" hidden="false" customHeight="false" outlineLevel="0" collapsed="false">
      <c r="A29" s="11" t="n">
        <v>3</v>
      </c>
      <c r="B29" s="11" t="s">
        <v>41</v>
      </c>
      <c r="C29" s="11" t="s">
        <v>42</v>
      </c>
      <c r="D29" s="11" t="s">
        <v>43</v>
      </c>
      <c r="E29" s="11" t="s">
        <v>35</v>
      </c>
      <c r="F29" s="11" t="s">
        <v>36</v>
      </c>
    </row>
    <row r="30" customFormat="false" ht="23.85" hidden="false" customHeight="false" outlineLevel="0" collapsed="false">
      <c r="A30" s="11" t="n">
        <v>4</v>
      </c>
      <c r="B30" s="11" t="s">
        <v>44</v>
      </c>
      <c r="C30" s="11" t="s">
        <v>45</v>
      </c>
      <c r="D30" s="11" t="s">
        <v>46</v>
      </c>
      <c r="E30" s="11" t="s">
        <v>35</v>
      </c>
      <c r="F30" s="11" t="s">
        <v>47</v>
      </c>
    </row>
    <row r="31" customFormat="false" ht="23.85" hidden="false" customHeight="false" outlineLevel="0" collapsed="false">
      <c r="A31" s="11" t="n">
        <v>5</v>
      </c>
      <c r="B31" s="11" t="s">
        <v>48</v>
      </c>
      <c r="C31" s="11" t="s">
        <v>49</v>
      </c>
      <c r="D31" s="11" t="s">
        <v>50</v>
      </c>
      <c r="E31" s="11" t="s">
        <v>51</v>
      </c>
      <c r="F31" s="11" t="s">
        <v>36</v>
      </c>
    </row>
    <row r="32" customFormat="false" ht="23.85" hidden="false" customHeight="false" outlineLevel="0" collapsed="false">
      <c r="A32" s="11" t="n">
        <v>6</v>
      </c>
      <c r="B32" s="11" t="s">
        <v>52</v>
      </c>
      <c r="C32" s="11" t="s">
        <v>53</v>
      </c>
      <c r="D32" s="11" t="s">
        <v>54</v>
      </c>
      <c r="E32" s="11" t="s">
        <v>51</v>
      </c>
      <c r="F32" s="11" t="s">
        <v>40</v>
      </c>
    </row>
    <row r="34" customFormat="false" ht="15" hidden="false" customHeight="false" outlineLevel="0" collapsed="false">
      <c r="A34" s="2" t="s">
        <v>55</v>
      </c>
    </row>
    <row r="36" customFormat="false" ht="15" hidden="false" customHeight="false" outlineLevel="0" collapsed="false">
      <c r="A36" s="3" t="s">
        <v>56</v>
      </c>
    </row>
    <row r="37" customFormat="false" ht="15" hidden="false" customHeight="false" outlineLevel="0" collapsed="false">
      <c r="A37" s="12" t="s">
        <v>26</v>
      </c>
      <c r="B37" s="12" t="s">
        <v>57</v>
      </c>
      <c r="C37" s="12" t="s">
        <v>58</v>
      </c>
      <c r="D37" s="12" t="s">
        <v>59</v>
      </c>
      <c r="E37" s="12" t="s">
        <v>60</v>
      </c>
    </row>
    <row r="38" customFormat="false" ht="15" hidden="false" customHeight="false" outlineLevel="0" collapsed="false">
      <c r="A38" s="11" t="n">
        <v>1</v>
      </c>
      <c r="B38" s="11" t="s">
        <v>61</v>
      </c>
      <c r="C38" s="11" t="s">
        <v>62</v>
      </c>
      <c r="D38" s="13" t="n">
        <f aca="false">Jadwal!G10</f>
        <v>46322</v>
      </c>
      <c r="E38" s="14" t="str">
        <f aca="false">Jadwal!I10</f>
        <v>Selesai</v>
      </c>
    </row>
    <row r="39" customFormat="false" ht="15" hidden="false" customHeight="false" outlineLevel="0" collapsed="false">
      <c r="A39" s="11" t="n">
        <v>2</v>
      </c>
      <c r="B39" s="11" t="s">
        <v>63</v>
      </c>
      <c r="C39" s="11" t="s">
        <v>64</v>
      </c>
      <c r="D39" s="13" t="n">
        <f aca="false">Jadwal!G17</f>
        <v>46322</v>
      </c>
      <c r="E39" s="14" t="str">
        <f aca="false">Jadwal!I17</f>
        <v>Selesai</v>
      </c>
    </row>
    <row r="40" customFormat="false" ht="15" hidden="false" customHeight="false" outlineLevel="0" collapsed="false">
      <c r="A40" s="11" t="n">
        <v>3</v>
      </c>
      <c r="B40" s="11" t="s">
        <v>65</v>
      </c>
      <c r="C40" s="11" t="s">
        <v>66</v>
      </c>
      <c r="D40" s="13" t="n">
        <f aca="false">Jadwal!G21</f>
        <v>46322</v>
      </c>
      <c r="E40" s="14" t="str">
        <f aca="false">Jadwal!I21</f>
        <v>Selesai</v>
      </c>
    </row>
    <row r="41" customFormat="false" ht="15" hidden="false" customHeight="false" outlineLevel="0" collapsed="false">
      <c r="A41" s="11" t="n">
        <v>4</v>
      </c>
      <c r="B41" s="11" t="s">
        <v>67</v>
      </c>
      <c r="C41" s="11" t="s">
        <v>68</v>
      </c>
      <c r="D41" s="13" t="n">
        <f aca="false">Jadwal!G24</f>
        <v>46323</v>
      </c>
      <c r="E41" s="14" t="str">
        <f aca="false">Jadwal!I24</f>
        <v>Belum Mulai</v>
      </c>
    </row>
    <row r="42" customFormat="false" ht="15" hidden="false" customHeight="false" outlineLevel="0" collapsed="false">
      <c r="A42" s="11" t="n">
        <v>5</v>
      </c>
      <c r="B42" s="11" t="s">
        <v>69</v>
      </c>
      <c r="C42" s="11" t="s">
        <v>70</v>
      </c>
      <c r="D42" s="13" t="n">
        <f aca="false">Jadwal!G26</f>
        <v>46331</v>
      </c>
      <c r="E42" s="14" t="str">
        <f aca="false">Jadwal!I26</f>
        <v>Belum Mulai</v>
      </c>
    </row>
    <row r="43" customFormat="false" ht="15" hidden="false" customHeight="false" outlineLevel="0" collapsed="false">
      <c r="A43" s="11" t="n">
        <v>6</v>
      </c>
      <c r="B43" s="11" t="s">
        <v>71</v>
      </c>
      <c r="C43" s="11" t="s">
        <v>72</v>
      </c>
      <c r="D43" s="13" t="n">
        <f aca="false">Jadwal!G31</f>
        <v>46342</v>
      </c>
      <c r="E43" s="14" t="str">
        <f aca="false">Jadwal!I31</f>
        <v>Belum Mulai</v>
      </c>
    </row>
    <row r="45" customFormat="false" ht="15" hidden="false" customHeight="false" outlineLevel="0" collapsed="false">
      <c r="A45" s="3" t="s">
        <v>73</v>
      </c>
    </row>
    <row r="46" customFormat="false" ht="15" hidden="false" customHeight="false" outlineLevel="0" collapsed="false">
      <c r="A46" s="12" t="s">
        <v>26</v>
      </c>
      <c r="B46" s="12" t="s">
        <v>74</v>
      </c>
      <c r="C46" s="12" t="s">
        <v>75</v>
      </c>
      <c r="D46" s="12" t="s">
        <v>76</v>
      </c>
      <c r="E46" s="12" t="s">
        <v>77</v>
      </c>
    </row>
    <row r="47" customFormat="false" ht="15" hidden="false" customHeight="false" outlineLevel="0" collapsed="false">
      <c r="A47" s="11" t="n">
        <v>1</v>
      </c>
      <c r="B47" s="11" t="s">
        <v>78</v>
      </c>
      <c r="C47" s="5" t="s">
        <v>8</v>
      </c>
      <c r="D47" s="11" t="s">
        <v>79</v>
      </c>
      <c r="E47" s="15" t="n">
        <v>0.5</v>
      </c>
    </row>
    <row r="48" customFormat="false" ht="23.85" hidden="false" customHeight="false" outlineLevel="0" collapsed="false">
      <c r="A48" s="11" t="n">
        <v>2</v>
      </c>
      <c r="B48" s="11" t="s">
        <v>36</v>
      </c>
      <c r="C48" s="5" t="s">
        <v>8</v>
      </c>
      <c r="D48" s="11" t="s">
        <v>80</v>
      </c>
      <c r="E48" s="15" t="n">
        <v>1</v>
      </c>
    </row>
    <row r="49" customFormat="false" ht="15" hidden="false" customHeight="false" outlineLevel="0" collapsed="false">
      <c r="A49" s="11" t="n">
        <v>3</v>
      </c>
      <c r="B49" s="11" t="s">
        <v>40</v>
      </c>
      <c r="C49" s="5" t="s">
        <v>81</v>
      </c>
      <c r="D49" s="11" t="s">
        <v>82</v>
      </c>
      <c r="E49" s="15" t="n">
        <v>0.75</v>
      </c>
    </row>
    <row r="50" customFormat="false" ht="15" hidden="false" customHeight="false" outlineLevel="0" collapsed="false">
      <c r="A50" s="11" t="n">
        <v>4</v>
      </c>
      <c r="B50" s="11" t="s">
        <v>47</v>
      </c>
      <c r="C50" s="5" t="s">
        <v>8</v>
      </c>
      <c r="D50" s="11" t="s">
        <v>83</v>
      </c>
      <c r="E50" s="15" t="n">
        <v>0.5</v>
      </c>
    </row>
    <row r="51" customFormat="false" ht="15" hidden="false" customHeight="false" outlineLevel="0" collapsed="false">
      <c r="A51" s="11" t="n">
        <v>5</v>
      </c>
      <c r="B51" s="11" t="s">
        <v>84</v>
      </c>
      <c r="C51" s="5" t="s">
        <v>81</v>
      </c>
      <c r="D51" s="11" t="s">
        <v>85</v>
      </c>
      <c r="E51" s="15" t="n">
        <v>0.5</v>
      </c>
    </row>
    <row r="52" customFormat="false" ht="15" hidden="false" customHeight="false" outlineLevel="0" collapsed="false">
      <c r="A52" s="2" t="s">
        <v>86</v>
      </c>
    </row>
    <row r="54" customFormat="false" ht="15" hidden="false" customHeight="false" outlineLevel="0" collapsed="false">
      <c r="A54" s="3" t="s">
        <v>87</v>
      </c>
    </row>
    <row r="55" customFormat="false" ht="15" hidden="false" customHeight="false" outlineLevel="0" collapsed="false">
      <c r="A55" s="12" t="s">
        <v>26</v>
      </c>
      <c r="B55" s="12" t="s">
        <v>88</v>
      </c>
      <c r="C55" s="12" t="s">
        <v>89</v>
      </c>
      <c r="D55" s="12" t="s">
        <v>31</v>
      </c>
      <c r="E55" s="12" t="s">
        <v>90</v>
      </c>
      <c r="F55" s="12" t="s">
        <v>91</v>
      </c>
    </row>
    <row r="56" customFormat="false" ht="23.85" hidden="false" customHeight="false" outlineLevel="0" collapsed="false">
      <c r="A56" s="11" t="n">
        <v>1</v>
      </c>
      <c r="B56" s="11" t="s">
        <v>92</v>
      </c>
      <c r="C56" s="11" t="s">
        <v>93</v>
      </c>
      <c r="D56" s="11" t="s">
        <v>36</v>
      </c>
      <c r="E56" s="11" t="s">
        <v>51</v>
      </c>
      <c r="F56" s="11" t="s">
        <v>35</v>
      </c>
    </row>
    <row r="57" customFormat="false" ht="23.85" hidden="false" customHeight="false" outlineLevel="0" collapsed="false">
      <c r="A57" s="11" t="n">
        <v>2</v>
      </c>
      <c r="B57" s="11" t="s">
        <v>94</v>
      </c>
      <c r="C57" s="11" t="s">
        <v>95</v>
      </c>
      <c r="D57" s="11" t="s">
        <v>36</v>
      </c>
      <c r="E57" s="11" t="s">
        <v>51</v>
      </c>
      <c r="F57" s="11" t="s">
        <v>51</v>
      </c>
    </row>
    <row r="58" customFormat="false" ht="23.85" hidden="false" customHeight="false" outlineLevel="0" collapsed="false">
      <c r="A58" s="11" t="n">
        <v>3</v>
      </c>
      <c r="B58" s="11" t="s">
        <v>96</v>
      </c>
      <c r="C58" s="11" t="s">
        <v>97</v>
      </c>
      <c r="D58" s="11" t="s">
        <v>47</v>
      </c>
      <c r="E58" s="11" t="s">
        <v>51</v>
      </c>
      <c r="F58" s="11" t="s">
        <v>51</v>
      </c>
    </row>
    <row r="59" customFormat="false" ht="23.85" hidden="false" customHeight="false" outlineLevel="0" collapsed="false">
      <c r="A59" s="11" t="n">
        <v>4</v>
      </c>
      <c r="B59" s="11" t="s">
        <v>98</v>
      </c>
      <c r="C59" s="11" t="s">
        <v>99</v>
      </c>
      <c r="D59" s="11" t="s">
        <v>40</v>
      </c>
      <c r="E59" s="11" t="s">
        <v>35</v>
      </c>
      <c r="F59" s="11" t="s">
        <v>100</v>
      </c>
    </row>
    <row r="60" customFormat="false" ht="23.85" hidden="false" customHeight="false" outlineLevel="0" collapsed="false">
      <c r="A60" s="11" t="n">
        <v>5</v>
      </c>
      <c r="B60" s="11" t="s">
        <v>101</v>
      </c>
      <c r="C60" s="11" t="s">
        <v>102</v>
      </c>
      <c r="D60" s="11" t="s">
        <v>78</v>
      </c>
      <c r="E60" s="11" t="s">
        <v>100</v>
      </c>
      <c r="F60" s="11" t="s">
        <v>35</v>
      </c>
    </row>
    <row r="61" customFormat="false" ht="23.85" hidden="false" customHeight="false" outlineLevel="0" collapsed="false">
      <c r="A61" s="11" t="n">
        <v>6</v>
      </c>
      <c r="B61" s="11" t="s">
        <v>103</v>
      </c>
      <c r="C61" s="11" t="s">
        <v>104</v>
      </c>
      <c r="D61" s="11" t="s">
        <v>78</v>
      </c>
      <c r="E61" s="11" t="s">
        <v>51</v>
      </c>
      <c r="F61" s="11" t="s">
        <v>51</v>
      </c>
    </row>
  </sheetData>
  <mergeCells count="4"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44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16" t="str">
        <f aca="false">'Rencana Proyek'!C5</f>
        <v>Smart KTM - AI Agent dan Blockchain pada KTM</v>
      </c>
    </row>
    <row r="3" customFormat="false" ht="15" hidden="false" customHeight="false" outlineLevel="0" collapsed="false">
      <c r="A3" s="2" t="s">
        <v>106</v>
      </c>
    </row>
    <row r="5" customFormat="false" ht="23.85" hidden="false" customHeight="false" outlineLevel="0" collapsed="false">
      <c r="A5" s="12" t="s">
        <v>26</v>
      </c>
      <c r="B5" s="12" t="s">
        <v>107</v>
      </c>
      <c r="C5" s="12" t="s">
        <v>108</v>
      </c>
      <c r="D5" s="12" t="s">
        <v>109</v>
      </c>
      <c r="E5" s="12" t="s">
        <v>110</v>
      </c>
      <c r="F5" s="12" t="s">
        <v>111</v>
      </c>
      <c r="G5" s="12" t="s">
        <v>112</v>
      </c>
    </row>
    <row r="6" customFormat="false" ht="15" hidden="false" customHeight="false" outlineLevel="0" collapsed="false">
      <c r="A6" s="17" t="s">
        <v>113</v>
      </c>
      <c r="B6" s="17" t="s">
        <v>114</v>
      </c>
      <c r="C6" s="18"/>
      <c r="D6" s="18"/>
      <c r="E6" s="18"/>
      <c r="F6" s="18"/>
      <c r="G6" s="18"/>
    </row>
    <row r="7" customFormat="false" ht="15" hidden="false" customHeight="false" outlineLevel="0" collapsed="false">
      <c r="A7" s="11" t="n">
        <v>1</v>
      </c>
      <c r="B7" s="11" t="s">
        <v>7</v>
      </c>
      <c r="C7" s="11" t="s">
        <v>115</v>
      </c>
      <c r="D7" s="19" t="n">
        <v>1.5</v>
      </c>
      <c r="E7" s="20" t="n">
        <v>3000000</v>
      </c>
      <c r="F7" s="21" t="n">
        <f aca="false">D7*E7</f>
        <v>4500000</v>
      </c>
      <c r="G7" s="11" t="s">
        <v>116</v>
      </c>
    </row>
    <row r="8" customFormat="false" ht="15" hidden="false" customHeight="false" outlineLevel="0" collapsed="false">
      <c r="A8" s="11" t="n">
        <v>2</v>
      </c>
      <c r="B8" s="11" t="s">
        <v>117</v>
      </c>
      <c r="C8" s="11" t="s">
        <v>115</v>
      </c>
      <c r="D8" s="19" t="n">
        <v>1.5</v>
      </c>
      <c r="E8" s="20" t="n">
        <v>5000000</v>
      </c>
      <c r="F8" s="21" t="n">
        <f aca="false">D8*E8</f>
        <v>7500000</v>
      </c>
      <c r="G8" s="11"/>
    </row>
    <row r="9" customFormat="false" ht="15" hidden="false" customHeight="false" outlineLevel="0" collapsed="false">
      <c r="A9" s="11" t="n">
        <v>3</v>
      </c>
      <c r="B9" s="11" t="s">
        <v>118</v>
      </c>
      <c r="C9" s="11" t="s">
        <v>115</v>
      </c>
      <c r="D9" s="19" t="n">
        <v>1.5</v>
      </c>
      <c r="E9" s="20" t="n">
        <v>4500000</v>
      </c>
      <c r="F9" s="21" t="n">
        <f aca="false">D9*E9</f>
        <v>6750000</v>
      </c>
      <c r="G9" s="11"/>
    </row>
    <row r="10" customFormat="false" ht="15" hidden="false" customHeight="false" outlineLevel="0" collapsed="false">
      <c r="A10" s="11" t="n">
        <v>4</v>
      </c>
      <c r="B10" s="11" t="s">
        <v>47</v>
      </c>
      <c r="C10" s="11" t="s">
        <v>115</v>
      </c>
      <c r="D10" s="19" t="n">
        <v>1</v>
      </c>
      <c r="E10" s="20" t="n">
        <v>4500000</v>
      </c>
      <c r="F10" s="21" t="n">
        <f aca="false">D10*E10</f>
        <v>4500000</v>
      </c>
      <c r="G10" s="11" t="s">
        <v>119</v>
      </c>
    </row>
    <row r="11" customFormat="false" ht="15" hidden="false" customHeight="false" outlineLevel="0" collapsed="false">
      <c r="A11" s="11" t="n">
        <v>5</v>
      </c>
      <c r="B11" s="11" t="s">
        <v>120</v>
      </c>
      <c r="C11" s="11" t="s">
        <v>115</v>
      </c>
      <c r="D11" s="19" t="n">
        <v>1</v>
      </c>
      <c r="E11" s="20" t="n">
        <v>2500000</v>
      </c>
      <c r="F11" s="21" t="n">
        <f aca="false">D11*E11</f>
        <v>2500000</v>
      </c>
      <c r="G11" s="11"/>
    </row>
    <row r="12" customFormat="false" ht="15" hidden="false" customHeight="false" outlineLevel="0" collapsed="false">
      <c r="B12" s="4" t="s">
        <v>121</v>
      </c>
      <c r="F12" s="22" t="n">
        <f aca="false">SUM(F7:F11)</f>
        <v>25750000</v>
      </c>
    </row>
    <row r="13" customFormat="false" ht="15" hidden="false" customHeight="false" outlineLevel="0" collapsed="false">
      <c r="A13" s="17" t="s">
        <v>122</v>
      </c>
      <c r="B13" s="17" t="s">
        <v>123</v>
      </c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11" t="n">
        <v>1</v>
      </c>
      <c r="B14" s="11" t="s">
        <v>124</v>
      </c>
      <c r="C14" s="11" t="s">
        <v>125</v>
      </c>
      <c r="D14" s="19" t="n">
        <v>1</v>
      </c>
      <c r="E14" s="20" t="n">
        <v>2500000</v>
      </c>
      <c r="F14" s="21" t="n">
        <f aca="false">D14*E14</f>
        <v>2500000</v>
      </c>
      <c r="G14" s="11" t="s">
        <v>126</v>
      </c>
    </row>
    <row r="15" customFormat="false" ht="15" hidden="false" customHeight="false" outlineLevel="0" collapsed="false">
      <c r="A15" s="11" t="n">
        <v>2</v>
      </c>
      <c r="B15" s="11" t="s">
        <v>127</v>
      </c>
      <c r="C15" s="11" t="s">
        <v>128</v>
      </c>
      <c r="D15" s="19" t="n">
        <v>20</v>
      </c>
      <c r="E15" s="20" t="n">
        <v>5000</v>
      </c>
      <c r="F15" s="21" t="n">
        <f aca="false">D15*E15</f>
        <v>100000</v>
      </c>
      <c r="G15" s="11" t="s">
        <v>129</v>
      </c>
    </row>
    <row r="16" customFormat="false" ht="15" hidden="false" customHeight="false" outlineLevel="0" collapsed="false">
      <c r="A16" s="11" t="n">
        <v>3</v>
      </c>
      <c r="B16" s="11" t="s">
        <v>130</v>
      </c>
      <c r="C16" s="11" t="s">
        <v>125</v>
      </c>
      <c r="D16" s="19" t="n">
        <v>1</v>
      </c>
      <c r="E16" s="20" t="n">
        <v>350000</v>
      </c>
      <c r="F16" s="21" t="n">
        <f aca="false">D16*E16</f>
        <v>350000</v>
      </c>
      <c r="G16" s="11"/>
    </row>
    <row r="17" customFormat="false" ht="15" hidden="false" customHeight="false" outlineLevel="0" collapsed="false">
      <c r="B17" s="4" t="s">
        <v>131</v>
      </c>
      <c r="F17" s="22" t="n">
        <f aca="false">SUM(F14:F16)</f>
        <v>2950000</v>
      </c>
    </row>
    <row r="18" customFormat="false" ht="15" hidden="false" customHeight="false" outlineLevel="0" collapsed="false">
      <c r="A18" s="17" t="s">
        <v>132</v>
      </c>
      <c r="B18" s="17" t="s">
        <v>133</v>
      </c>
      <c r="C18" s="18"/>
      <c r="D18" s="18"/>
      <c r="E18" s="18"/>
      <c r="F18" s="18"/>
      <c r="G18" s="18"/>
    </row>
    <row r="19" customFormat="false" ht="15" hidden="false" customHeight="false" outlineLevel="0" collapsed="false">
      <c r="A19" s="11" t="n">
        <v>1</v>
      </c>
      <c r="B19" s="11" t="s">
        <v>134</v>
      </c>
      <c r="C19" s="11" t="s">
        <v>115</v>
      </c>
      <c r="D19" s="19" t="n">
        <v>6</v>
      </c>
      <c r="E19" s="20" t="n">
        <v>150000</v>
      </c>
      <c r="F19" s="21" t="n">
        <f aca="false">D19*E19</f>
        <v>900000</v>
      </c>
      <c r="G19" s="11" t="s">
        <v>135</v>
      </c>
    </row>
    <row r="20" customFormat="false" ht="15" hidden="false" customHeight="false" outlineLevel="0" collapsed="false">
      <c r="A20" s="11" t="n">
        <v>2</v>
      </c>
      <c r="B20" s="11" t="s">
        <v>136</v>
      </c>
      <c r="C20" s="11" t="s">
        <v>137</v>
      </c>
      <c r="D20" s="19" t="n">
        <v>1</v>
      </c>
      <c r="E20" s="20" t="n">
        <v>25000</v>
      </c>
      <c r="F20" s="21" t="n">
        <f aca="false">D20*E20</f>
        <v>25000</v>
      </c>
      <c r="G20" s="11" t="s">
        <v>138</v>
      </c>
    </row>
    <row r="21" customFormat="false" ht="15" hidden="false" customHeight="false" outlineLevel="0" collapsed="false">
      <c r="A21" s="11" t="n">
        <v>3</v>
      </c>
      <c r="B21" s="11" t="s">
        <v>139</v>
      </c>
      <c r="C21" s="11" t="s">
        <v>115</v>
      </c>
      <c r="D21" s="19" t="n">
        <v>2</v>
      </c>
      <c r="E21" s="20" t="n">
        <v>0</v>
      </c>
      <c r="F21" s="21" t="n">
        <f aca="false">D21*E21</f>
        <v>0</v>
      </c>
      <c r="G21" s="11" t="s">
        <v>140</v>
      </c>
    </row>
    <row r="22" customFormat="false" ht="15" hidden="false" customHeight="false" outlineLevel="0" collapsed="false">
      <c r="A22" s="11" t="n">
        <v>4</v>
      </c>
      <c r="B22" s="11" t="s">
        <v>141</v>
      </c>
      <c r="C22" s="11" t="s">
        <v>142</v>
      </c>
      <c r="D22" s="19" t="n">
        <v>1</v>
      </c>
      <c r="E22" s="20" t="n">
        <v>0</v>
      </c>
      <c r="F22" s="21" t="n">
        <f aca="false">D22*E22</f>
        <v>0</v>
      </c>
      <c r="G22" s="11" t="s">
        <v>143</v>
      </c>
    </row>
    <row r="23" customFormat="false" ht="15" hidden="false" customHeight="false" outlineLevel="0" collapsed="false">
      <c r="A23" s="11" t="n">
        <v>5</v>
      </c>
      <c r="B23" s="11" t="s">
        <v>144</v>
      </c>
      <c r="C23" s="11" t="s">
        <v>145</v>
      </c>
      <c r="D23" s="19" t="n">
        <v>1</v>
      </c>
      <c r="E23" s="20" t="n">
        <v>400000</v>
      </c>
      <c r="F23" s="21" t="n">
        <f aca="false">D23*E23</f>
        <v>400000</v>
      </c>
      <c r="G23" s="11" t="s">
        <v>146</v>
      </c>
    </row>
    <row r="24" customFormat="false" ht="15" hidden="false" customHeight="false" outlineLevel="0" collapsed="false">
      <c r="A24" s="11" t="n">
        <v>6</v>
      </c>
      <c r="B24" s="11" t="s">
        <v>147</v>
      </c>
      <c r="C24" s="11" t="s">
        <v>115</v>
      </c>
      <c r="D24" s="19" t="n">
        <v>2</v>
      </c>
      <c r="E24" s="20" t="n">
        <v>0</v>
      </c>
      <c r="F24" s="21" t="n">
        <f aca="false">D24*E24</f>
        <v>0</v>
      </c>
      <c r="G24" s="11" t="s">
        <v>148</v>
      </c>
    </row>
    <row r="25" customFormat="false" ht="15" hidden="false" customHeight="false" outlineLevel="0" collapsed="false">
      <c r="B25" s="4" t="s">
        <v>149</v>
      </c>
      <c r="F25" s="22" t="n">
        <f aca="false">SUM(F19:F24)</f>
        <v>1325000</v>
      </c>
    </row>
    <row r="26" customFormat="false" ht="15" hidden="false" customHeight="false" outlineLevel="0" collapsed="false">
      <c r="A26" s="17" t="s">
        <v>150</v>
      </c>
      <c r="B26" s="17" t="s">
        <v>151</v>
      </c>
      <c r="C26" s="18"/>
      <c r="D26" s="18"/>
      <c r="E26" s="18"/>
      <c r="F26" s="18"/>
      <c r="G26" s="18"/>
    </row>
    <row r="27" customFormat="false" ht="15" hidden="false" customHeight="false" outlineLevel="0" collapsed="false">
      <c r="A27" s="11" t="n">
        <v>1</v>
      </c>
      <c r="B27" s="11" t="s">
        <v>152</v>
      </c>
      <c r="C27" s="11" t="s">
        <v>153</v>
      </c>
      <c r="D27" s="19" t="n">
        <v>2</v>
      </c>
      <c r="E27" s="20" t="n">
        <v>300000</v>
      </c>
      <c r="F27" s="21" t="n">
        <f aca="false">D27*E27</f>
        <v>600000</v>
      </c>
      <c r="G27" s="11"/>
    </row>
    <row r="28" customFormat="false" ht="15" hidden="false" customHeight="false" outlineLevel="0" collapsed="false">
      <c r="A28" s="11" t="n">
        <v>2</v>
      </c>
      <c r="B28" s="11" t="s">
        <v>154</v>
      </c>
      <c r="C28" s="11" t="s">
        <v>155</v>
      </c>
      <c r="D28" s="19" t="n">
        <v>10</v>
      </c>
      <c r="E28" s="20" t="n">
        <v>25000</v>
      </c>
      <c r="F28" s="21" t="n">
        <f aca="false">D28*E28</f>
        <v>250000</v>
      </c>
      <c r="G28" s="11"/>
    </row>
    <row r="29" customFormat="false" ht="15" hidden="false" customHeight="false" outlineLevel="0" collapsed="false">
      <c r="B29" s="4" t="s">
        <v>156</v>
      </c>
      <c r="F29" s="22" t="n">
        <f aca="false">SUM(F27:F28)</f>
        <v>850000</v>
      </c>
    </row>
    <row r="30" customFormat="false" ht="15" hidden="false" customHeight="false" outlineLevel="0" collapsed="false">
      <c r="A30" s="17" t="s">
        <v>157</v>
      </c>
      <c r="B30" s="17" t="s">
        <v>158</v>
      </c>
      <c r="C30" s="18"/>
      <c r="D30" s="18"/>
      <c r="E30" s="18"/>
      <c r="F30" s="18"/>
      <c r="G30" s="18"/>
    </row>
    <row r="31" customFormat="false" ht="15" hidden="false" customHeight="false" outlineLevel="0" collapsed="false">
      <c r="A31" s="11" t="n">
        <v>1</v>
      </c>
      <c r="B31" s="11" t="s">
        <v>159</v>
      </c>
      <c r="C31" s="11" t="s">
        <v>115</v>
      </c>
      <c r="D31" s="19" t="n">
        <v>2</v>
      </c>
      <c r="E31" s="20" t="n">
        <v>150000</v>
      </c>
      <c r="F31" s="21" t="n">
        <f aca="false">D31*E31</f>
        <v>300000</v>
      </c>
      <c r="G31" s="11"/>
    </row>
    <row r="32" customFormat="false" ht="15" hidden="false" customHeight="false" outlineLevel="0" collapsed="false">
      <c r="A32" s="11" t="n">
        <v>2</v>
      </c>
      <c r="B32" s="11" t="s">
        <v>160</v>
      </c>
      <c r="C32" s="11" t="s">
        <v>142</v>
      </c>
      <c r="D32" s="19" t="n">
        <v>1</v>
      </c>
      <c r="E32" s="20" t="n">
        <v>200000</v>
      </c>
      <c r="F32" s="21" t="n">
        <f aca="false">D32*E32</f>
        <v>200000</v>
      </c>
      <c r="G32" s="11" t="s">
        <v>161</v>
      </c>
    </row>
    <row r="33" customFormat="false" ht="15" hidden="false" customHeight="false" outlineLevel="0" collapsed="false">
      <c r="A33" s="11" t="n">
        <v>3</v>
      </c>
      <c r="B33" s="11" t="s">
        <v>162</v>
      </c>
      <c r="C33" s="11" t="s">
        <v>145</v>
      </c>
      <c r="D33" s="19" t="n">
        <v>4</v>
      </c>
      <c r="E33" s="20" t="n">
        <v>50000</v>
      </c>
      <c r="F33" s="21" t="n">
        <f aca="false">D33*E33</f>
        <v>200000</v>
      </c>
      <c r="G33" s="11"/>
    </row>
    <row r="34" customFormat="false" ht="15" hidden="false" customHeight="false" outlineLevel="0" collapsed="false">
      <c r="B34" s="4" t="s">
        <v>163</v>
      </c>
      <c r="F34" s="22" t="n">
        <f aca="false">SUM(F31:F33)</f>
        <v>700000</v>
      </c>
    </row>
    <row r="36" customFormat="false" ht="15" hidden="false" customHeight="false" outlineLevel="0" collapsed="false">
      <c r="B36" s="4" t="s">
        <v>164</v>
      </c>
      <c r="F36" s="22" t="n">
        <f aca="false">F12+F17+F25+F29+F34</f>
        <v>31575000</v>
      </c>
    </row>
    <row r="37" customFormat="false" ht="15" hidden="false" customHeight="false" outlineLevel="0" collapsed="false">
      <c r="B37" s="4" t="s">
        <v>165</v>
      </c>
      <c r="E37" s="23" t="n">
        <v>0.1</v>
      </c>
      <c r="F37" s="21" t="n">
        <f aca="false">F36*E37</f>
        <v>3157500</v>
      </c>
      <c r="G37" s="11" t="s">
        <v>166</v>
      </c>
    </row>
    <row r="38" customFormat="false" ht="15" hidden="false" customHeight="false" outlineLevel="0" collapsed="false">
      <c r="B38" s="4" t="s">
        <v>167</v>
      </c>
      <c r="E38" s="23" t="n">
        <v>0.11</v>
      </c>
      <c r="F38" s="21" t="n">
        <f aca="false">(F36+F37)*E38</f>
        <v>3820575</v>
      </c>
      <c r="G38" s="11" t="s">
        <v>168</v>
      </c>
    </row>
    <row r="39" customFormat="false" ht="15" hidden="false" customHeight="false" outlineLevel="0" collapsed="false">
      <c r="B39" s="4" t="s">
        <v>169</v>
      </c>
      <c r="F39" s="22" t="n">
        <f aca="false">F36+F37+F38</f>
        <v>38553075</v>
      </c>
    </row>
    <row r="41" customFormat="false" ht="15" hidden="false" customHeight="false" outlineLevel="0" collapsed="false">
      <c r="B41" s="4" t="s">
        <v>170</v>
      </c>
      <c r="F41" s="24" t="n">
        <v>50000000</v>
      </c>
      <c r="G41" s="11" t="s">
        <v>171</v>
      </c>
    </row>
    <row r="42" customFormat="false" ht="15" hidden="false" customHeight="false" outlineLevel="0" collapsed="false">
      <c r="B42" s="4" t="s">
        <v>172</v>
      </c>
      <c r="F42" s="21" t="n">
        <f aca="false">F41-F39</f>
        <v>11446925</v>
      </c>
      <c r="G42" s="11" t="str">
        <f aca="false">IF(F42&lt;0,"Melebihi batas","Masih dalam batas")</f>
        <v>Masih dalam batas</v>
      </c>
    </row>
    <row r="44" customFormat="false" ht="15" hidden="false" customHeight="false" outlineLevel="0" collapsed="false">
      <c r="A44" s="3" t="s">
        <v>173</v>
      </c>
    </row>
    <row r="45" customFormat="false" ht="15" hidden="false" customHeight="false" outlineLevel="0" collapsed="false">
      <c r="A45" s="12" t="s">
        <v>174</v>
      </c>
      <c r="B45" s="12" t="s">
        <v>175</v>
      </c>
      <c r="C45" s="12"/>
      <c r="D45" s="12"/>
      <c r="E45" s="12"/>
      <c r="F45" s="12" t="s">
        <v>111</v>
      </c>
      <c r="G45" s="12" t="s">
        <v>176</v>
      </c>
    </row>
    <row r="46" customFormat="false" ht="15" hidden="false" customHeight="false" outlineLevel="0" collapsed="false">
      <c r="A46" s="11" t="s">
        <v>113</v>
      </c>
      <c r="B46" s="11" t="s">
        <v>114</v>
      </c>
      <c r="C46" s="11"/>
      <c r="D46" s="11"/>
      <c r="E46" s="11"/>
      <c r="F46" s="21" t="n">
        <f aca="false">F12</f>
        <v>25750000</v>
      </c>
      <c r="G46" s="25" t="n">
        <f aca="false">IF($F$36=0,0,F46/$F$36)</f>
        <v>0.815518606492478</v>
      </c>
    </row>
    <row r="47" customFormat="false" ht="15" hidden="false" customHeight="false" outlineLevel="0" collapsed="false">
      <c r="A47" s="11" t="s">
        <v>122</v>
      </c>
      <c r="B47" s="11" t="s">
        <v>123</v>
      </c>
      <c r="C47" s="11"/>
      <c r="D47" s="11"/>
      <c r="E47" s="11"/>
      <c r="F47" s="21" t="n">
        <f aca="false">F17</f>
        <v>2950000</v>
      </c>
      <c r="G47" s="25" t="n">
        <f aca="false">IF($F$36=0,0,F47/$F$36)</f>
        <v>0.0934283452098179</v>
      </c>
    </row>
    <row r="48" customFormat="false" ht="15" hidden="false" customHeight="false" outlineLevel="0" collapsed="false">
      <c r="A48" s="11" t="s">
        <v>132</v>
      </c>
      <c r="B48" s="11" t="s">
        <v>133</v>
      </c>
      <c r="C48" s="11"/>
      <c r="D48" s="11"/>
      <c r="E48" s="11"/>
      <c r="F48" s="21" t="n">
        <f aca="false">F25</f>
        <v>1325000</v>
      </c>
      <c r="G48" s="25" t="n">
        <f aca="false">IF($F$36=0,0,F48/$F$36)</f>
        <v>0.0419635787806809</v>
      </c>
    </row>
    <row r="49" customFormat="false" ht="15" hidden="false" customHeight="false" outlineLevel="0" collapsed="false">
      <c r="A49" s="11" t="s">
        <v>150</v>
      </c>
      <c r="B49" s="11" t="s">
        <v>151</v>
      </c>
      <c r="C49" s="11"/>
      <c r="D49" s="11"/>
      <c r="E49" s="11"/>
      <c r="F49" s="21" t="n">
        <f aca="false">F29</f>
        <v>850000</v>
      </c>
      <c r="G49" s="25" t="n">
        <f aca="false">IF($F$36=0,0,F49/$F$36)</f>
        <v>0.0269200316706255</v>
      </c>
    </row>
    <row r="50" customFormat="false" ht="15" hidden="false" customHeight="false" outlineLevel="0" collapsed="false">
      <c r="A50" s="11" t="s">
        <v>157</v>
      </c>
      <c r="B50" s="11" t="s">
        <v>158</v>
      </c>
      <c r="C50" s="11"/>
      <c r="D50" s="11"/>
      <c r="E50" s="11"/>
      <c r="F50" s="21" t="n">
        <f aca="false">F34</f>
        <v>700000</v>
      </c>
      <c r="G50" s="25" t="n">
        <f aca="false">IF($F$36=0,0,F50/$F$36)</f>
        <v>0.0221694378463975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7" min="10" style="0" width="6.51"/>
  </cols>
  <sheetData>
    <row r="1" customFormat="false" ht="19.7" hidden="false" customHeight="false" outlineLevel="0" collapsed="false">
      <c r="A1" s="1" t="s">
        <v>177</v>
      </c>
    </row>
    <row r="2" customFormat="false" ht="15" hidden="false" customHeight="false" outlineLevel="0" collapsed="false">
      <c r="A2" s="16" t="str">
        <f aca="false">'Rencana Proyek'!C5</f>
        <v>Smart KTM - AI Agent dan Blockchain pada KTM</v>
      </c>
    </row>
    <row r="3" customFormat="false" ht="15" hidden="false" customHeight="false" outlineLevel="0" collapsed="false">
      <c r="A3" s="26" t="s">
        <v>178</v>
      </c>
      <c r="B3" s="27" t="s">
        <v>179</v>
      </c>
      <c r="C3" s="28" t="s">
        <v>180</v>
      </c>
      <c r="D3" s="29" t="s">
        <v>181</v>
      </c>
      <c r="E3" s="30" t="s">
        <v>182</v>
      </c>
    </row>
    <row r="5" customFormat="false" ht="15" hidden="false" customHeight="false" outlineLevel="0" collapsed="false">
      <c r="A5" s="2" t="s">
        <v>183</v>
      </c>
      <c r="J5" s="31" t="s">
        <v>184</v>
      </c>
      <c r="K5" s="31" t="s">
        <v>185</v>
      </c>
      <c r="L5" s="31" t="s">
        <v>186</v>
      </c>
      <c r="M5" s="31" t="s">
        <v>187</v>
      </c>
      <c r="N5" s="31" t="s">
        <v>188</v>
      </c>
      <c r="O5" s="31" t="s">
        <v>189</v>
      </c>
      <c r="P5" s="31" t="s">
        <v>190</v>
      </c>
      <c r="Q5" s="31" t="s">
        <v>191</v>
      </c>
    </row>
    <row r="6" customFormat="false" ht="23.85" hidden="false" customHeight="false" outlineLevel="0" collapsed="false">
      <c r="A6" s="12" t="s">
        <v>174</v>
      </c>
      <c r="B6" s="12" t="s">
        <v>192</v>
      </c>
      <c r="C6" s="12" t="s">
        <v>31</v>
      </c>
      <c r="D6" s="12" t="s">
        <v>193</v>
      </c>
      <c r="E6" s="12" t="s">
        <v>194</v>
      </c>
      <c r="F6" s="12" t="s">
        <v>195</v>
      </c>
      <c r="G6" s="12" t="s">
        <v>181</v>
      </c>
      <c r="H6" s="12" t="s">
        <v>196</v>
      </c>
      <c r="I6" s="12" t="s">
        <v>60</v>
      </c>
      <c r="J6" s="32" t="n">
        <f aca="false">'Rencana Proyek'!$C$8</f>
        <v>46321</v>
      </c>
      <c r="K6" s="32" t="n">
        <f aca="false">J6+7</f>
        <v>46328</v>
      </c>
      <c r="L6" s="32" t="n">
        <f aca="false">K6+7</f>
        <v>46335</v>
      </c>
      <c r="M6" s="32" t="n">
        <f aca="false">L6+7</f>
        <v>46342</v>
      </c>
      <c r="N6" s="32" t="n">
        <f aca="false">M6+7</f>
        <v>46349</v>
      </c>
      <c r="O6" s="32" t="n">
        <f aca="false">N6+7</f>
        <v>46356</v>
      </c>
      <c r="P6" s="32" t="n">
        <f aca="false">O6+7</f>
        <v>46363</v>
      </c>
      <c r="Q6" s="32" t="n">
        <f aca="false">P6+7</f>
        <v>46370</v>
      </c>
    </row>
    <row r="7" customFormat="false" ht="15" hidden="false" customHeight="false" outlineLevel="0" collapsed="false">
      <c r="A7" s="17" t="s">
        <v>197</v>
      </c>
      <c r="B7" s="17" t="s">
        <v>198</v>
      </c>
      <c r="C7" s="18"/>
      <c r="D7" s="18"/>
      <c r="E7" s="33" t="n">
        <f aca="false">MIN(E8:E11)</f>
        <v>46321</v>
      </c>
      <c r="F7" s="17" t="n">
        <f aca="false">G7-E7+1</f>
        <v>2</v>
      </c>
      <c r="G7" s="33" t="n">
        <f aca="false">MAX(G8:G11)</f>
        <v>46322</v>
      </c>
      <c r="H7" s="34" t="n">
        <f aca="false">IFERROR(SUMPRODUCT(F8:F11,H8:H11)/SUM(F8:F11),0)</f>
        <v>1</v>
      </c>
      <c r="I7" s="17" t="str">
        <f aca="true">IF(H7&gt;=1,"Selesai",IF(AND(TODAY()&gt;G7,H7&lt;1),"Terlambat",IF(H7&gt;0,"Berjalan","Belum Mulai")))</f>
        <v>Selesai</v>
      </c>
      <c r="J7" s="35"/>
      <c r="K7" s="35"/>
      <c r="L7" s="35"/>
      <c r="M7" s="35"/>
      <c r="N7" s="35"/>
      <c r="O7" s="35"/>
      <c r="P7" s="35"/>
      <c r="Q7" s="35"/>
    </row>
    <row r="8" customFormat="false" ht="15" hidden="false" customHeight="false" outlineLevel="0" collapsed="false">
      <c r="A8" s="11" t="s">
        <v>199</v>
      </c>
      <c r="B8" s="11" t="s">
        <v>200</v>
      </c>
      <c r="C8" s="5" t="s">
        <v>78</v>
      </c>
      <c r="D8" s="5"/>
      <c r="E8" s="7" t="n">
        <f aca="false">IF($D8="",'Rencana Proyek'!$C$8,IFERROR(INDEX($G$7:$G$31,MATCH($D8,$A$7:$A$31,0))+1,'Rencana Proyek'!$C$8))</f>
        <v>46321</v>
      </c>
      <c r="F8" s="5" t="n">
        <v>1</v>
      </c>
      <c r="G8" s="7" t="n">
        <f aca="false">E8+F8-1</f>
        <v>46321</v>
      </c>
      <c r="H8" s="15" t="n">
        <v>1</v>
      </c>
      <c r="I8" s="11" t="str">
        <f aca="true">IF(H8&gt;=1,"Selesai",IF(AND(TODAY()&gt;G8,H8&lt;1),"Terlambat",IF(H8&gt;0,"Berjalan","Belum Mulai")))</f>
        <v>Selesai</v>
      </c>
      <c r="J8" s="35"/>
      <c r="K8" s="35"/>
      <c r="L8" s="35"/>
      <c r="M8" s="35"/>
      <c r="N8" s="35"/>
      <c r="O8" s="35"/>
      <c r="P8" s="35"/>
      <c r="Q8" s="35"/>
    </row>
    <row r="9" customFormat="false" ht="15" hidden="false" customHeight="false" outlineLevel="0" collapsed="false">
      <c r="A9" s="11" t="s">
        <v>201</v>
      </c>
      <c r="B9" s="11" t="s">
        <v>202</v>
      </c>
      <c r="C9" s="5" t="s">
        <v>36</v>
      </c>
      <c r="D9" s="5"/>
      <c r="E9" s="7" t="n">
        <f aca="false">IF($D9="",'Rencana Proyek'!$C$8,IFERROR(INDEX($G$7:$G$31,MATCH($D9,$A$7:$A$31,0))+1,'Rencana Proyek'!$C$8))</f>
        <v>46321</v>
      </c>
      <c r="F9" s="5" t="n">
        <v>1</v>
      </c>
      <c r="G9" s="7" t="n">
        <f aca="false">E9+F9-1</f>
        <v>46321</v>
      </c>
      <c r="H9" s="15" t="n">
        <v>1</v>
      </c>
      <c r="I9" s="11" t="str">
        <f aca="true">IF(H9&gt;=1,"Selesai",IF(AND(TODAY()&gt;G9,H9&lt;1),"Terlambat",IF(H9&gt;0,"Berjalan","Belum Mulai")))</f>
        <v>Selesai</v>
      </c>
      <c r="J9" s="35"/>
      <c r="K9" s="35"/>
      <c r="L9" s="35"/>
      <c r="M9" s="35"/>
      <c r="N9" s="35"/>
      <c r="O9" s="35"/>
      <c r="P9" s="35"/>
      <c r="Q9" s="35"/>
    </row>
    <row r="10" customFormat="false" ht="15" hidden="false" customHeight="false" outlineLevel="0" collapsed="false">
      <c r="A10" s="11" t="s">
        <v>203</v>
      </c>
      <c r="B10" s="11" t="s">
        <v>204</v>
      </c>
      <c r="C10" s="5" t="s">
        <v>78</v>
      </c>
      <c r="D10" s="5" t="s">
        <v>199</v>
      </c>
      <c r="E10" s="7" t="n">
        <f aca="false">IF($D10="",'Rencana Proyek'!$C$8,IFERROR(INDEX($G$7:$G$31,MATCH($D10,$A$7:$A$31,0))+1,'Rencana Proyek'!$C$8))</f>
        <v>46322</v>
      </c>
      <c r="F10" s="5" t="n">
        <v>1</v>
      </c>
      <c r="G10" s="7" t="n">
        <f aca="false">E10+F10-1</f>
        <v>46322</v>
      </c>
      <c r="H10" s="15" t="n">
        <v>1</v>
      </c>
      <c r="I10" s="11" t="str">
        <f aca="true">IF(H10&gt;=1,"Selesai",IF(AND(TODAY()&gt;G10,H10&lt;1),"Terlambat",IF(H10&gt;0,"Berjalan","Belum Mulai")))</f>
        <v>Selesai</v>
      </c>
      <c r="J10" s="35"/>
      <c r="K10" s="35"/>
      <c r="L10" s="35"/>
      <c r="M10" s="35"/>
      <c r="N10" s="35"/>
      <c r="O10" s="35"/>
      <c r="P10" s="35"/>
      <c r="Q10" s="35"/>
    </row>
    <row r="11" customFormat="false" ht="15" hidden="false" customHeight="false" outlineLevel="0" collapsed="false">
      <c r="A11" s="11" t="s">
        <v>205</v>
      </c>
      <c r="B11" s="11" t="s">
        <v>206</v>
      </c>
      <c r="C11" s="5" t="s">
        <v>40</v>
      </c>
      <c r="D11" s="5" t="s">
        <v>199</v>
      </c>
      <c r="E11" s="7" t="n">
        <f aca="false">IF($D11="",'Rencana Proyek'!$C$8,IFERROR(INDEX($G$7:$G$31,MATCH($D11,$A$7:$A$31,0))+1,'Rencana Proyek'!$C$8))</f>
        <v>46322</v>
      </c>
      <c r="F11" s="5" t="n">
        <v>1</v>
      </c>
      <c r="G11" s="7" t="n">
        <f aca="false">E11+F11-1</f>
        <v>46322</v>
      </c>
      <c r="H11" s="15" t="n">
        <v>1</v>
      </c>
      <c r="I11" s="11" t="str">
        <f aca="true">IF(H11&gt;=1,"Selesai",IF(AND(TODAY()&gt;G11,H11&lt;1),"Terlambat",IF(H11&gt;0,"Berjalan","Belum Mulai")))</f>
        <v>Selesai</v>
      </c>
      <c r="J11" s="35"/>
      <c r="K11" s="35"/>
      <c r="L11" s="35"/>
      <c r="M11" s="35"/>
      <c r="N11" s="35"/>
      <c r="O11" s="35"/>
      <c r="P11" s="35"/>
      <c r="Q11" s="35"/>
    </row>
    <row r="12" customFormat="false" ht="15" hidden="false" customHeight="false" outlineLevel="0" collapsed="false">
      <c r="A12" s="17" t="s">
        <v>207</v>
      </c>
      <c r="B12" s="17" t="s">
        <v>208</v>
      </c>
      <c r="C12" s="18"/>
      <c r="D12" s="18"/>
      <c r="E12" s="33" t="n">
        <f aca="false">MIN(E13:E17)</f>
        <v>46322</v>
      </c>
      <c r="F12" s="17" t="n">
        <f aca="false">G12-E12+1</f>
        <v>1</v>
      </c>
      <c r="G12" s="33" t="n">
        <f aca="false">MAX(G13:G17)</f>
        <v>46322</v>
      </c>
      <c r="H12" s="34" t="n">
        <f aca="false">IFERROR(SUMPRODUCT(F13:F17,H13:H17)/SUM(F13:F17),0)</f>
        <v>1</v>
      </c>
      <c r="I12" s="17" t="str">
        <f aca="true">IF(H12&gt;=1,"Selesai",IF(AND(TODAY()&gt;G12,H12&lt;1),"Terlambat",IF(H12&gt;0,"Berjalan","Belum Mulai")))</f>
        <v>Selesai</v>
      </c>
      <c r="J12" s="35"/>
      <c r="K12" s="35"/>
      <c r="L12" s="35"/>
      <c r="M12" s="35"/>
      <c r="N12" s="35"/>
      <c r="O12" s="35"/>
      <c r="P12" s="35"/>
      <c r="Q12" s="35"/>
    </row>
    <row r="13" customFormat="false" ht="15" hidden="false" customHeight="false" outlineLevel="0" collapsed="false">
      <c r="A13" s="11" t="s">
        <v>209</v>
      </c>
      <c r="B13" s="11" t="s">
        <v>210</v>
      </c>
      <c r="C13" s="5" t="s">
        <v>36</v>
      </c>
      <c r="D13" s="5" t="s">
        <v>201</v>
      </c>
      <c r="E13" s="7" t="n">
        <f aca="false">IF($D13="",'Rencana Proyek'!$C$8,IFERROR(INDEX($G$7:$G$31,MATCH($D13,$A$7:$A$31,0))+1,'Rencana Proyek'!$C$8))</f>
        <v>46322</v>
      </c>
      <c r="F13" s="5" t="n">
        <v>1</v>
      </c>
      <c r="G13" s="7" t="n">
        <f aca="false">E13+F13-1</f>
        <v>46322</v>
      </c>
      <c r="H13" s="15" t="n">
        <v>1</v>
      </c>
      <c r="I13" s="11" t="str">
        <f aca="true">IF(H13&gt;=1,"Selesai",IF(AND(TODAY()&gt;G13,H13&lt;1),"Terlambat",IF(H13&gt;0,"Berjalan","Belum Mulai")))</f>
        <v>Selesai</v>
      </c>
      <c r="J13" s="35"/>
      <c r="K13" s="35"/>
      <c r="L13" s="35"/>
      <c r="M13" s="35"/>
      <c r="N13" s="35"/>
      <c r="O13" s="35"/>
      <c r="P13" s="35"/>
      <c r="Q13" s="35"/>
    </row>
    <row r="14" customFormat="false" ht="15" hidden="false" customHeight="false" outlineLevel="0" collapsed="false">
      <c r="A14" s="11" t="s">
        <v>211</v>
      </c>
      <c r="B14" s="11" t="s">
        <v>212</v>
      </c>
      <c r="C14" s="5" t="s">
        <v>36</v>
      </c>
      <c r="D14" s="5" t="s">
        <v>201</v>
      </c>
      <c r="E14" s="7" t="n">
        <f aca="false">IF($D14="",'Rencana Proyek'!$C$8,IFERROR(INDEX($G$7:$G$31,MATCH($D14,$A$7:$A$31,0))+1,'Rencana Proyek'!$C$8))</f>
        <v>46322</v>
      </c>
      <c r="F14" s="5" t="n">
        <v>1</v>
      </c>
      <c r="G14" s="7" t="n">
        <f aca="false">E14+F14-1</f>
        <v>46322</v>
      </c>
      <c r="H14" s="15" t="n">
        <v>1</v>
      </c>
      <c r="I14" s="11" t="str">
        <f aca="true">IF(H14&gt;=1,"Selesai",IF(AND(TODAY()&gt;G14,H14&lt;1),"Terlambat",IF(H14&gt;0,"Berjalan","Belum Mulai")))</f>
        <v>Selesai</v>
      </c>
      <c r="J14" s="35"/>
      <c r="K14" s="35"/>
      <c r="L14" s="35"/>
      <c r="M14" s="35"/>
      <c r="N14" s="35"/>
      <c r="O14" s="35"/>
      <c r="P14" s="35"/>
      <c r="Q14" s="35"/>
    </row>
    <row r="15" customFormat="false" ht="15" hidden="false" customHeight="false" outlineLevel="0" collapsed="false">
      <c r="A15" s="11" t="s">
        <v>213</v>
      </c>
      <c r="B15" s="11" t="s">
        <v>214</v>
      </c>
      <c r="C15" s="5" t="s">
        <v>47</v>
      </c>
      <c r="D15" s="5" t="s">
        <v>201</v>
      </c>
      <c r="E15" s="7" t="n">
        <f aca="false">IF($D15="",'Rencana Proyek'!$C$8,IFERROR(INDEX($G$7:$G$31,MATCH($D15,$A$7:$A$31,0))+1,'Rencana Proyek'!$C$8))</f>
        <v>46322</v>
      </c>
      <c r="F15" s="5" t="n">
        <v>1</v>
      </c>
      <c r="G15" s="7" t="n">
        <f aca="false">E15+F15-1</f>
        <v>46322</v>
      </c>
      <c r="H15" s="15" t="n">
        <v>1</v>
      </c>
      <c r="I15" s="11" t="str">
        <f aca="true">IF(H15&gt;=1,"Selesai",IF(AND(TODAY()&gt;G15,H15&lt;1),"Terlambat",IF(H15&gt;0,"Berjalan","Belum Mulai")))</f>
        <v>Selesai</v>
      </c>
      <c r="J15" s="35"/>
      <c r="K15" s="35"/>
      <c r="L15" s="35"/>
      <c r="M15" s="35"/>
      <c r="N15" s="35"/>
      <c r="O15" s="35"/>
      <c r="P15" s="35"/>
      <c r="Q15" s="35"/>
    </row>
    <row r="16" customFormat="false" ht="15" hidden="false" customHeight="false" outlineLevel="0" collapsed="false">
      <c r="A16" s="11" t="s">
        <v>215</v>
      </c>
      <c r="B16" s="11" t="s">
        <v>216</v>
      </c>
      <c r="C16" s="5" t="s">
        <v>36</v>
      </c>
      <c r="D16" s="5" t="s">
        <v>201</v>
      </c>
      <c r="E16" s="7" t="n">
        <f aca="false">IF($D16="",'Rencana Proyek'!$C$8,IFERROR(INDEX($G$7:$G$31,MATCH($D16,$A$7:$A$31,0))+1,'Rencana Proyek'!$C$8))</f>
        <v>46322</v>
      </c>
      <c r="F16" s="5" t="n">
        <v>1</v>
      </c>
      <c r="G16" s="7" t="n">
        <f aca="false">E16+F16-1</f>
        <v>46322</v>
      </c>
      <c r="H16" s="15" t="n">
        <v>1</v>
      </c>
      <c r="I16" s="11" t="str">
        <f aca="true">IF(H16&gt;=1,"Selesai",IF(AND(TODAY()&gt;G16,H16&lt;1),"Terlambat",IF(H16&gt;0,"Berjalan","Belum Mulai")))</f>
        <v>Selesai</v>
      </c>
      <c r="J16" s="35"/>
      <c r="K16" s="35"/>
      <c r="L16" s="35"/>
      <c r="M16" s="35"/>
      <c r="N16" s="35"/>
      <c r="O16" s="35"/>
      <c r="P16" s="35"/>
      <c r="Q16" s="35"/>
    </row>
    <row r="17" customFormat="false" ht="15" hidden="false" customHeight="false" outlineLevel="0" collapsed="false">
      <c r="A17" s="11" t="s">
        <v>217</v>
      </c>
      <c r="B17" s="11" t="s">
        <v>218</v>
      </c>
      <c r="C17" s="5" t="s">
        <v>36</v>
      </c>
      <c r="D17" s="5" t="s">
        <v>201</v>
      </c>
      <c r="E17" s="7" t="n">
        <f aca="false">IF($D17="",'Rencana Proyek'!$C$8,IFERROR(INDEX($G$7:$G$31,MATCH($D17,$A$7:$A$31,0))+1,'Rencana Proyek'!$C$8))</f>
        <v>46322</v>
      </c>
      <c r="F17" s="5" t="n">
        <v>1</v>
      </c>
      <c r="G17" s="7" t="n">
        <f aca="false">E17+F17-1</f>
        <v>46322</v>
      </c>
      <c r="H17" s="15" t="n">
        <v>1</v>
      </c>
      <c r="I17" s="11" t="str">
        <f aca="true">IF(H17&gt;=1,"Selesai",IF(AND(TODAY()&gt;G17,H17&lt;1),"Terlambat",IF(H17&gt;0,"Berjalan","Belum Mulai")))</f>
        <v>Selesai</v>
      </c>
      <c r="J17" s="35"/>
      <c r="K17" s="35"/>
      <c r="L17" s="35"/>
      <c r="M17" s="35"/>
      <c r="N17" s="35"/>
      <c r="O17" s="35"/>
      <c r="P17" s="35"/>
      <c r="Q17" s="35"/>
    </row>
    <row r="18" customFormat="false" ht="15" hidden="false" customHeight="false" outlineLevel="0" collapsed="false">
      <c r="A18" s="17" t="s">
        <v>219</v>
      </c>
      <c r="B18" s="17" t="s">
        <v>220</v>
      </c>
      <c r="C18" s="18"/>
      <c r="D18" s="18"/>
      <c r="E18" s="33" t="n">
        <f aca="false">MIN(E19:E21)</f>
        <v>46322</v>
      </c>
      <c r="F18" s="17" t="n">
        <f aca="false">G18-E18+1</f>
        <v>1</v>
      </c>
      <c r="G18" s="33" t="n">
        <f aca="false">MAX(G19:G21)</f>
        <v>46322</v>
      </c>
      <c r="H18" s="34" t="n">
        <f aca="false">IFERROR(SUMPRODUCT(F19:F21,H19:H21)/SUM(F19:F21),0)</f>
        <v>1</v>
      </c>
      <c r="I18" s="17" t="str">
        <f aca="true">IF(H18&gt;=1,"Selesai",IF(AND(TODAY()&gt;G18,H18&lt;1),"Terlambat",IF(H18&gt;0,"Berjalan","Belum Mulai")))</f>
        <v>Selesai</v>
      </c>
      <c r="J18" s="35"/>
      <c r="K18" s="35"/>
      <c r="L18" s="35"/>
      <c r="M18" s="35"/>
      <c r="N18" s="35"/>
      <c r="O18" s="35"/>
      <c r="P18" s="35"/>
      <c r="Q18" s="35"/>
    </row>
    <row r="19" customFormat="false" ht="15" hidden="false" customHeight="false" outlineLevel="0" collapsed="false">
      <c r="A19" s="11" t="s">
        <v>221</v>
      </c>
      <c r="B19" s="11" t="s">
        <v>222</v>
      </c>
      <c r="C19" s="5" t="s">
        <v>40</v>
      </c>
      <c r="D19" s="5" t="s">
        <v>201</v>
      </c>
      <c r="E19" s="7" t="n">
        <f aca="false">IF($D19="",'Rencana Proyek'!$C$8,IFERROR(INDEX($G$7:$G$31,MATCH($D19,$A$7:$A$31,0))+1,'Rencana Proyek'!$C$8))</f>
        <v>46322</v>
      </c>
      <c r="F19" s="5" t="n">
        <v>1</v>
      </c>
      <c r="G19" s="7" t="n">
        <f aca="false">E19+F19-1</f>
        <v>46322</v>
      </c>
      <c r="H19" s="15" t="n">
        <v>1</v>
      </c>
      <c r="I19" s="11" t="str">
        <f aca="true">IF(H19&gt;=1,"Selesai",IF(AND(TODAY()&gt;G19,H19&lt;1),"Terlambat",IF(H19&gt;0,"Berjalan","Belum Mulai")))</f>
        <v>Selesai</v>
      </c>
      <c r="J19" s="35"/>
      <c r="K19" s="35"/>
      <c r="L19" s="35"/>
      <c r="M19" s="35"/>
      <c r="N19" s="35"/>
      <c r="O19" s="35"/>
      <c r="P19" s="35"/>
      <c r="Q19" s="35"/>
    </row>
    <row r="20" customFormat="false" ht="15" hidden="false" customHeight="false" outlineLevel="0" collapsed="false">
      <c r="A20" s="11" t="s">
        <v>223</v>
      </c>
      <c r="B20" s="11" t="s">
        <v>224</v>
      </c>
      <c r="C20" s="5" t="s">
        <v>40</v>
      </c>
      <c r="D20" s="5" t="s">
        <v>201</v>
      </c>
      <c r="E20" s="7" t="n">
        <f aca="false">IF($D20="",'Rencana Proyek'!$C$8,IFERROR(INDEX($G$7:$G$31,MATCH($D20,$A$7:$A$31,0))+1,'Rencana Proyek'!$C$8))</f>
        <v>46322</v>
      </c>
      <c r="F20" s="5" t="n">
        <v>1</v>
      </c>
      <c r="G20" s="7" t="n">
        <f aca="false">E20+F20-1</f>
        <v>46322</v>
      </c>
      <c r="H20" s="15" t="n">
        <v>1</v>
      </c>
      <c r="I20" s="11" t="str">
        <f aca="true">IF(H20&gt;=1,"Selesai",IF(AND(TODAY()&gt;G20,H20&lt;1),"Terlambat",IF(H20&gt;0,"Berjalan","Belum Mulai")))</f>
        <v>Selesai</v>
      </c>
      <c r="J20" s="35"/>
      <c r="K20" s="35"/>
      <c r="L20" s="35"/>
      <c r="M20" s="35"/>
      <c r="N20" s="35"/>
      <c r="O20" s="35"/>
      <c r="P20" s="35"/>
      <c r="Q20" s="35"/>
    </row>
    <row r="21" customFormat="false" ht="15" hidden="false" customHeight="false" outlineLevel="0" collapsed="false">
      <c r="A21" s="11" t="s">
        <v>225</v>
      </c>
      <c r="B21" s="11" t="s">
        <v>226</v>
      </c>
      <c r="C21" s="5" t="s">
        <v>40</v>
      </c>
      <c r="D21" s="5" t="s">
        <v>201</v>
      </c>
      <c r="E21" s="7" t="n">
        <f aca="false">IF($D21="",'Rencana Proyek'!$C$8,IFERROR(INDEX($G$7:$G$31,MATCH($D21,$A$7:$A$31,0))+1,'Rencana Proyek'!$C$8))</f>
        <v>46322</v>
      </c>
      <c r="F21" s="5" t="n">
        <v>1</v>
      </c>
      <c r="G21" s="7" t="n">
        <f aca="false">E21+F21-1</f>
        <v>46322</v>
      </c>
      <c r="H21" s="15" t="n">
        <v>1</v>
      </c>
      <c r="I21" s="11" t="str">
        <f aca="true">IF(H21&gt;=1,"Selesai",IF(AND(TODAY()&gt;G21,H21&lt;1),"Terlambat",IF(H21&gt;0,"Berjalan","Belum Mulai")))</f>
        <v>Selesai</v>
      </c>
      <c r="J21" s="35"/>
      <c r="K21" s="35"/>
      <c r="L21" s="35"/>
      <c r="M21" s="35"/>
      <c r="N21" s="35"/>
      <c r="O21" s="35"/>
      <c r="P21" s="35"/>
      <c r="Q21" s="35"/>
    </row>
    <row r="22" customFormat="false" ht="15" hidden="false" customHeight="false" outlineLevel="0" collapsed="false">
      <c r="A22" s="17" t="s">
        <v>227</v>
      </c>
      <c r="B22" s="17" t="s">
        <v>228</v>
      </c>
      <c r="C22" s="18"/>
      <c r="D22" s="18"/>
      <c r="E22" s="33" t="n">
        <f aca="false">MIN(E23:E26)</f>
        <v>46322</v>
      </c>
      <c r="F22" s="17" t="n">
        <f aca="false">G22-E22+1</f>
        <v>10</v>
      </c>
      <c r="G22" s="33" t="n">
        <f aca="false">MAX(G23:G26)</f>
        <v>46331</v>
      </c>
      <c r="H22" s="34" t="n">
        <f aca="false">IFERROR(SUMPRODUCT(F23:F26,H23:H26)/SUM(F23:F26),0)</f>
        <v>0.1</v>
      </c>
      <c r="I22" s="17" t="str">
        <f aca="true">IF(H22&gt;=1,"Selesai",IF(AND(TODAY()&gt;G22,H22&lt;1),"Terlambat",IF(H22&gt;0,"Berjalan","Belum Mulai")))</f>
        <v>Berjalan</v>
      </c>
      <c r="J22" s="35"/>
      <c r="K22" s="35"/>
      <c r="L22" s="35"/>
      <c r="M22" s="35"/>
      <c r="N22" s="35"/>
      <c r="O22" s="35"/>
      <c r="P22" s="35"/>
      <c r="Q22" s="35"/>
    </row>
    <row r="23" customFormat="false" ht="15" hidden="false" customHeight="false" outlineLevel="0" collapsed="false">
      <c r="A23" s="11" t="s">
        <v>229</v>
      </c>
      <c r="B23" s="11" t="s">
        <v>230</v>
      </c>
      <c r="C23" s="5" t="s">
        <v>84</v>
      </c>
      <c r="D23" s="5" t="s">
        <v>201</v>
      </c>
      <c r="E23" s="7" t="n">
        <f aca="false">IF($D23="",'Rencana Proyek'!$C$8,IFERROR(INDEX($G$7:$G$31,MATCH($D23,$A$7:$A$31,0))+1,'Rencana Proyek'!$C$8))</f>
        <v>46322</v>
      </c>
      <c r="F23" s="5" t="n">
        <v>1</v>
      </c>
      <c r="G23" s="7" t="n">
        <f aca="false">E23+F23-1</f>
        <v>46322</v>
      </c>
      <c r="H23" s="15" t="n">
        <v>1</v>
      </c>
      <c r="I23" s="11" t="str">
        <f aca="true">IF(H23&gt;=1,"Selesai",IF(AND(TODAY()&gt;G23,H23&lt;1),"Terlambat",IF(H23&gt;0,"Berjalan","Belum Mulai")))</f>
        <v>Selesai</v>
      </c>
      <c r="J23" s="35"/>
      <c r="K23" s="35"/>
      <c r="L23" s="35"/>
      <c r="M23" s="35"/>
      <c r="N23" s="35"/>
      <c r="O23" s="35"/>
      <c r="P23" s="35"/>
      <c r="Q23" s="35"/>
    </row>
    <row r="24" customFormat="false" ht="15" hidden="false" customHeight="false" outlineLevel="0" collapsed="false">
      <c r="A24" s="11" t="s">
        <v>231</v>
      </c>
      <c r="B24" s="11" t="s">
        <v>232</v>
      </c>
      <c r="C24" s="5" t="s">
        <v>78</v>
      </c>
      <c r="D24" s="5" t="s">
        <v>229</v>
      </c>
      <c r="E24" s="7" t="n">
        <f aca="false">IF($D24="",'Rencana Proyek'!$C$8,IFERROR(INDEX($G$7:$G$31,MATCH($D24,$A$7:$A$31,0))+1,'Rencana Proyek'!$C$8))</f>
        <v>46323</v>
      </c>
      <c r="F24" s="5" t="n">
        <v>1</v>
      </c>
      <c r="G24" s="7" t="n">
        <f aca="false">E24+F24-1</f>
        <v>46323</v>
      </c>
      <c r="H24" s="15" t="n">
        <v>0</v>
      </c>
      <c r="I24" s="11" t="str">
        <f aca="true">IF(H24&gt;=1,"Selesai",IF(AND(TODAY()&gt;G24,H24&lt;1),"Terlambat",IF(H24&gt;0,"Berjalan","Belum Mulai")))</f>
        <v>Belum Mulai</v>
      </c>
      <c r="J24" s="35"/>
      <c r="K24" s="35"/>
      <c r="L24" s="35"/>
      <c r="M24" s="35"/>
      <c r="N24" s="35"/>
      <c r="O24" s="35"/>
      <c r="P24" s="35"/>
      <c r="Q24" s="35"/>
    </row>
    <row r="25" customFormat="false" ht="15" hidden="false" customHeight="false" outlineLevel="0" collapsed="false">
      <c r="A25" s="11" t="s">
        <v>233</v>
      </c>
      <c r="B25" s="11" t="s">
        <v>234</v>
      </c>
      <c r="C25" s="5" t="s">
        <v>84</v>
      </c>
      <c r="D25" s="5" t="s">
        <v>231</v>
      </c>
      <c r="E25" s="7" t="n">
        <f aca="false">IF($D25="",'Rencana Proyek'!$C$8,IFERROR(INDEX($G$7:$G$31,MATCH($D25,$A$7:$A$31,0))+1,'Rencana Proyek'!$C$8))</f>
        <v>46324</v>
      </c>
      <c r="F25" s="5" t="n">
        <v>5</v>
      </c>
      <c r="G25" s="7" t="n">
        <f aca="false">E25+F25-1</f>
        <v>46328</v>
      </c>
      <c r="H25" s="15" t="n">
        <v>0</v>
      </c>
      <c r="I25" s="11" t="str">
        <f aca="true">IF(H25&gt;=1,"Selesai",IF(AND(TODAY()&gt;G25,H25&lt;1),"Terlambat",IF(H25&gt;0,"Berjalan","Belum Mulai")))</f>
        <v>Belum Mulai</v>
      </c>
      <c r="J25" s="35"/>
      <c r="K25" s="35"/>
      <c r="L25" s="35"/>
      <c r="M25" s="35"/>
      <c r="N25" s="35"/>
      <c r="O25" s="35"/>
      <c r="P25" s="35"/>
      <c r="Q25" s="35"/>
    </row>
    <row r="26" customFormat="false" ht="15" hidden="false" customHeight="false" outlineLevel="0" collapsed="false">
      <c r="A26" s="11" t="s">
        <v>235</v>
      </c>
      <c r="B26" s="11" t="s">
        <v>236</v>
      </c>
      <c r="C26" s="5" t="s">
        <v>78</v>
      </c>
      <c r="D26" s="5" t="s">
        <v>233</v>
      </c>
      <c r="E26" s="7" t="n">
        <f aca="false">IF($D26="",'Rencana Proyek'!$C$8,IFERROR(INDEX($G$7:$G$31,MATCH($D26,$A$7:$A$31,0))+1,'Rencana Proyek'!$C$8))</f>
        <v>46329</v>
      </c>
      <c r="F26" s="5" t="n">
        <v>3</v>
      </c>
      <c r="G26" s="7" t="n">
        <f aca="false">E26+F26-1</f>
        <v>46331</v>
      </c>
      <c r="H26" s="15" t="n">
        <v>0</v>
      </c>
      <c r="I26" s="11" t="str">
        <f aca="true">IF(H26&gt;=1,"Selesai",IF(AND(TODAY()&gt;G26,H26&lt;1),"Terlambat",IF(H26&gt;0,"Berjalan","Belum Mulai")))</f>
        <v>Belum Mulai</v>
      </c>
      <c r="J26" s="35"/>
      <c r="K26" s="35"/>
      <c r="L26" s="35"/>
      <c r="M26" s="35"/>
      <c r="N26" s="35"/>
      <c r="O26" s="35"/>
      <c r="P26" s="35"/>
      <c r="Q26" s="35"/>
    </row>
    <row r="27" customFormat="false" ht="15" hidden="false" customHeight="false" outlineLevel="0" collapsed="false">
      <c r="A27" s="17" t="s">
        <v>237</v>
      </c>
      <c r="B27" s="17" t="s">
        <v>238</v>
      </c>
      <c r="C27" s="18"/>
      <c r="D27" s="18"/>
      <c r="E27" s="33" t="n">
        <f aca="false">MIN(E28:E31)</f>
        <v>46322</v>
      </c>
      <c r="F27" s="17" t="n">
        <f aca="false">G27-E27+1</f>
        <v>21</v>
      </c>
      <c r="G27" s="33" t="n">
        <f aca="false">MAX(G28:G31)</f>
        <v>46342</v>
      </c>
      <c r="H27" s="34" t="n">
        <f aca="false">IFERROR(SUMPRODUCT(F28:F31,H28:H31)/SUM(F28:F31),0)</f>
        <v>0.166666666666667</v>
      </c>
      <c r="I27" s="17" t="str">
        <f aca="true">IF(H27&gt;=1,"Selesai",IF(AND(TODAY()&gt;G27,H27&lt;1),"Terlambat",IF(H27&gt;0,"Berjalan","Belum Mulai")))</f>
        <v>Berjalan</v>
      </c>
      <c r="J27" s="35"/>
      <c r="K27" s="35"/>
      <c r="L27" s="35"/>
      <c r="M27" s="35"/>
      <c r="N27" s="35"/>
      <c r="O27" s="35"/>
      <c r="P27" s="35"/>
      <c r="Q27" s="35"/>
    </row>
    <row r="28" customFormat="false" ht="15" hidden="false" customHeight="false" outlineLevel="0" collapsed="false">
      <c r="A28" s="11" t="s">
        <v>239</v>
      </c>
      <c r="B28" s="11" t="s">
        <v>240</v>
      </c>
      <c r="C28" s="5" t="s">
        <v>36</v>
      </c>
      <c r="D28" s="5" t="s">
        <v>201</v>
      </c>
      <c r="E28" s="7" t="n">
        <f aca="false">IF($D28="",'Rencana Proyek'!$C$8,IFERROR(INDEX($G$7:$G$31,MATCH($D28,$A$7:$A$31,0))+1,'Rencana Proyek'!$C$8))</f>
        <v>46322</v>
      </c>
      <c r="F28" s="5" t="n">
        <v>1</v>
      </c>
      <c r="G28" s="7" t="n">
        <f aca="false">E28+F28-1</f>
        <v>46322</v>
      </c>
      <c r="H28" s="15" t="n">
        <v>1</v>
      </c>
      <c r="I28" s="11" t="str">
        <f aca="true">IF(H28&gt;=1,"Selesai",IF(AND(TODAY()&gt;G28,H28&lt;1),"Terlambat",IF(H28&gt;0,"Berjalan","Belum Mulai")))</f>
        <v>Selesai</v>
      </c>
      <c r="J28" s="35"/>
      <c r="K28" s="35"/>
      <c r="L28" s="35"/>
      <c r="M28" s="35"/>
      <c r="N28" s="35"/>
      <c r="O28" s="35"/>
      <c r="P28" s="35"/>
      <c r="Q28" s="35"/>
    </row>
    <row r="29" customFormat="false" ht="15" hidden="false" customHeight="false" outlineLevel="0" collapsed="false">
      <c r="A29" s="11" t="s">
        <v>241</v>
      </c>
      <c r="B29" s="11" t="s">
        <v>242</v>
      </c>
      <c r="C29" s="5" t="s">
        <v>36</v>
      </c>
      <c r="D29" s="5" t="s">
        <v>235</v>
      </c>
      <c r="E29" s="7" t="n">
        <f aca="false">IF($D29="",'Rencana Proyek'!$C$8,IFERROR(INDEX($G$7:$G$31,MATCH($D29,$A$7:$A$31,0))+1,'Rencana Proyek'!$C$8))</f>
        <v>46332</v>
      </c>
      <c r="F29" s="5" t="n">
        <v>5</v>
      </c>
      <c r="G29" s="7" t="n">
        <f aca="false">E29+F29-1</f>
        <v>46336</v>
      </c>
      <c r="H29" s="15" t="n">
        <v>0</v>
      </c>
      <c r="I29" s="11" t="str">
        <f aca="true">IF(H29&gt;=1,"Selesai",IF(AND(TODAY()&gt;G29,H29&lt;1),"Terlambat",IF(H29&gt;0,"Berjalan","Belum Mulai")))</f>
        <v>Belum Mulai</v>
      </c>
      <c r="J29" s="35"/>
      <c r="K29" s="35"/>
      <c r="L29" s="35"/>
      <c r="M29" s="35"/>
      <c r="N29" s="35"/>
      <c r="O29" s="35"/>
      <c r="P29" s="35"/>
      <c r="Q29" s="35"/>
    </row>
    <row r="30" customFormat="false" ht="15" hidden="false" customHeight="false" outlineLevel="0" collapsed="false">
      <c r="A30" s="11" t="s">
        <v>243</v>
      </c>
      <c r="B30" s="11" t="s">
        <v>244</v>
      </c>
      <c r="C30" s="5" t="s">
        <v>78</v>
      </c>
      <c r="D30" s="5" t="s">
        <v>241</v>
      </c>
      <c r="E30" s="7" t="n">
        <f aca="false">IF($D30="",'Rencana Proyek'!$C$8,IFERROR(INDEX($G$7:$G$31,MATCH($D30,$A$7:$A$31,0))+1,'Rencana Proyek'!$C$8))</f>
        <v>46337</v>
      </c>
      <c r="F30" s="5" t="n">
        <v>4</v>
      </c>
      <c r="G30" s="7" t="n">
        <f aca="false">E30+F30-1</f>
        <v>46340</v>
      </c>
      <c r="H30" s="15" t="n">
        <v>0.25</v>
      </c>
      <c r="I30" s="11" t="str">
        <f aca="true">IF(H30&gt;=1,"Selesai",IF(AND(TODAY()&gt;G30,H30&lt;1),"Terlambat",IF(H30&gt;0,"Berjalan","Belum Mulai")))</f>
        <v>Berjalan</v>
      </c>
      <c r="J30" s="35"/>
      <c r="K30" s="35"/>
      <c r="L30" s="35"/>
      <c r="M30" s="35"/>
      <c r="N30" s="35"/>
      <c r="O30" s="35"/>
      <c r="P30" s="35"/>
      <c r="Q30" s="35"/>
    </row>
    <row r="31" customFormat="false" ht="15" hidden="false" customHeight="false" outlineLevel="0" collapsed="false">
      <c r="A31" s="11" t="s">
        <v>245</v>
      </c>
      <c r="B31" s="11" t="s">
        <v>246</v>
      </c>
      <c r="C31" s="5" t="s">
        <v>78</v>
      </c>
      <c r="D31" s="5" t="s">
        <v>243</v>
      </c>
      <c r="E31" s="7" t="n">
        <f aca="false">IF($D31="",'Rencana Proyek'!$C$8,IFERROR(INDEX($G$7:$G$31,MATCH($D31,$A$7:$A$31,0))+1,'Rencana Proyek'!$C$8))</f>
        <v>46341</v>
      </c>
      <c r="F31" s="5" t="n">
        <v>2</v>
      </c>
      <c r="G31" s="7" t="n">
        <f aca="false">E31+F31-1</f>
        <v>46342</v>
      </c>
      <c r="H31" s="15" t="n">
        <v>0</v>
      </c>
      <c r="I31" s="11" t="str">
        <f aca="true">IF(H31&gt;=1,"Selesai",IF(AND(TODAY()&gt;G31,H31&lt;1),"Terlambat",IF(H31&gt;0,"Berjalan","Belum Mulai")))</f>
        <v>Belum Mulai</v>
      </c>
      <c r="J31" s="35"/>
      <c r="K31" s="35"/>
      <c r="L31" s="35"/>
      <c r="M31" s="35"/>
      <c r="N31" s="35"/>
      <c r="O31" s="35"/>
      <c r="P31" s="35"/>
      <c r="Q31" s="35"/>
    </row>
    <row r="33" customFormat="false" ht="15" hidden="false" customHeight="false" outlineLevel="0" collapsed="false">
      <c r="A33" s="2" t="s">
        <v>247</v>
      </c>
    </row>
  </sheetData>
  <conditionalFormatting sqref="J7:Q31">
    <cfRule type="expression" priority="2" aboveAverage="0" equalAverage="0" bottom="0" percent="0" rank="0" text="" dxfId="0">
      <formula>AND(LEFT($A7,1)="F",J$6&lt;=$G7,J$6+6&gt;=$E7)</formula>
    </cfRule>
    <cfRule type="expression" priority="3" aboveAverage="0" equalAverage="0" bottom="0" percent="0" rank="0" text="" dxfId="1">
      <formula>AND($H7&gt;=1,J$6&lt;=$G7,J$6+6&gt;=$E7)</formula>
    </cfRule>
    <cfRule type="expression" priority="4" aboveAverage="0" equalAverage="0" bottom="0" percent="0" rank="0" text="" dxfId="2">
      <formula>AND(J$6&lt;=$G7,J$6+6&gt;=$E7)</formula>
    </cfRule>
    <cfRule type="expression" priority="5" aboveAverage="0" equalAverage="0" bottom="0" percent="0" rank="0" text="" dxfId="3">
      <formula>AND(TODAY()&gt;=J$6,TODAY()&lt;=J$6+6)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2026-10-27T01:21:24Z</dcterms:created>
  <dc:creator>openpyxl</dc:creator>
  <dc:description/>
  <dc:language>en-US</dc:language>
  <cp:lastModifiedBy/>
  <dcterms:modified xsi:type="dcterms:W3CDTF">2026-10-27T01:21:24Z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